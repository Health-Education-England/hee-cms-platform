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mc:AlternateContent xmlns:mc="http://schemas.openxmlformats.org/markup-compatibility/2006">
    <mc:Choice Requires="x15">
      <x15ac:absPath xmlns:x15ac="http://schemas.microsoft.com/office/spreadsheetml/2010/11/ac" url="C:\Users\Noel.Cudden\Desktop\"/>
    </mc:Choice>
  </mc:AlternateContent>
  <xr:revisionPtr revIDLastSave="0" documentId="13_ncr:1_{58A41C0F-A415-430E-A94C-C1464B6179D9}" xr6:coauthVersionLast="47" xr6:coauthVersionMax="47" xr10:uidLastSave="{00000000-0000-0000-0000-000000000000}"/>
  <workbookProtection workbookAlgorithmName="SHA-512" workbookHashValue="QtVLNZWe74/sFwFvqg7PJhPL4uQyUmsorK0uGtL9NOYHcQ2cobH5zHsi2E0HszO5ATgi+jb3AXNH49o2T2Egjg==" workbookSaltValue="owpluL8HJHO/dLURFcfcVQ==" workbookSpinCount="100000" lockStructure="1"/>
  <bookViews>
    <workbookView xWindow="-110" yWindow="-110" windowWidth="19420" windowHeight="10420" xr2:uid="{00000000-000D-0000-FFFF-FFFF00000000}"/>
  </bookViews>
  <sheets>
    <sheet name="Statistical return" sheetId="1" r:id="rId1"/>
    <sheet name="Guidance, definitions" sheetId="4" r:id="rId2"/>
    <sheet name="LOV" sheetId="5" state="hidden" r:id="rId3"/>
    <sheet name="lookup" sheetId="3" state="hidden" r:id="rId4"/>
  </sheets>
  <functionGroups builtInGroupCount="19"/>
  <externalReferences>
    <externalReference r:id="rId5"/>
  </externalReferences>
  <definedNames>
    <definedName name="East_Midlands">LOV!$C$2:$C$11</definedName>
    <definedName name="East_of_England">LOV!$E$2:$E$18</definedName>
    <definedName name="ESR">#REF!</definedName>
    <definedName name="Finished">'Statistical return'!$U$2</definedName>
    <definedName name="G8.1">'Guidance, definitions'!$C$159</definedName>
    <definedName name="G8.2">'Guidance, definitions'!$C$162</definedName>
    <definedName name="G8.3">'Guidance, definitions'!$C$165</definedName>
    <definedName name="G8.4">'Guidance, definitions'!$C$167</definedName>
    <definedName name="G8.5">'Guidance, definitions'!$C$178</definedName>
    <definedName name="G8.6">'Guidance, definitions'!$C$180</definedName>
    <definedName name="Indent" localSheetId="2">'[1]Statistical return'!$S$2</definedName>
    <definedName name="Indent">'Statistical return'!$W$2</definedName>
    <definedName name="Kent__Surrey_and_Sussex">LOV!$G$2:$G$12</definedName>
    <definedName name="LineBreak" localSheetId="2">'[1]Statistical return'!$R$2</definedName>
    <definedName name="LineBreak">'Statistical return'!$V$2</definedName>
    <definedName name="London">LOV!$I$2:$I$32</definedName>
    <definedName name="LstCompletion" localSheetId="2">'[1]Statistical return'!$Q$18:$Q$32</definedName>
    <definedName name="LstCompletion">'Statistical return'!$U$19:$U$33</definedName>
    <definedName name="LstHeadCountEntries" localSheetId="2">'[1]Statistical return'!$Q$57:$Q$63</definedName>
    <definedName name="LstHeadCountEntries">'Statistical return'!$U$47:$U$52</definedName>
    <definedName name="LstHeadcountVacancies" localSheetId="2">'[1]Statistical return'!$Q$66:$Q$71</definedName>
    <definedName name="LstHeadcountVacancies">'Statistical return'!$U$55:$U$60</definedName>
    <definedName name="LstOthers" localSheetId="2">'[1]Statistical return'!$M$18:$M$32</definedName>
    <definedName name="LstOthers">'Statistical return'!$Q$19:$Q$33</definedName>
    <definedName name="lstprogress">'Statistical return'!$O$1:$O$179</definedName>
    <definedName name="North_East">LOV!$K$2:$K$33</definedName>
    <definedName name="North_West">LOV!$M$2:$M$35</definedName>
    <definedName name="NotStarted">'Statistical return'!$S$2</definedName>
    <definedName name="Other">'Guidance, definitions'!$C$72</definedName>
    <definedName name="PERIOD">lookup!$A$44:$A$44</definedName>
    <definedName name="Please_Check">'Statistical return'!$AF$134:$AT$134</definedName>
    <definedName name="_xlnm.Print_Area" localSheetId="1">'Guidance, definitions'!$C$1:$I$214</definedName>
    <definedName name="_xlnm.Print_Area" localSheetId="3">lookup!$A$1:$H$48</definedName>
    <definedName name="_xlnm.Print_Area" localSheetId="0">'Statistical return'!$A$1:$O$170</definedName>
    <definedName name="ReportText">'Statistical return'!$Z$3:$Z$212</definedName>
    <definedName name="SECTOR">lookup!$A$15:$A$18</definedName>
    <definedName name="SHA" localSheetId="2">[1]lookup!$A$3:$A$13</definedName>
    <definedName name="SHA">lookup!$A$3:$A$12</definedName>
    <definedName name="South_West">LOV!$O$2:$O$33</definedName>
    <definedName name="Started">'Statistical return'!$T$2</definedName>
    <definedName name="TblAnnualStatsComments">'Statistical return'!$AF$113:$AT$134</definedName>
    <definedName name="TblStaffBands">'[1]Statistical return'!$P$77</definedName>
    <definedName name="Thames_Valley">LOV!$Q$2:$Q$32</definedName>
    <definedName name="TYPE" localSheetId="2">[1]lookup!$A$23:$A$43</definedName>
    <definedName name="TYPE">lookup!$A$21:$A$41</definedName>
    <definedName name="Wessex">LOV!$S$2:$S$6</definedName>
    <definedName name="West_Midlands">LOV!$U$2:$U$23</definedName>
    <definedName name="Yorks._and_the_Humber">LOV!$W$2:$W$19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1" i="1" l="1"/>
  <c r="W97" i="1"/>
  <c r="D48" i="1" l="1"/>
  <c r="U111" i="1"/>
  <c r="U131" i="1"/>
  <c r="U162" i="1"/>
  <c r="U152" i="1"/>
  <c r="U117" i="1"/>
  <c r="W45" i="1"/>
  <c r="W43" i="1"/>
  <c r="W123" i="1"/>
  <c r="W42" i="1"/>
  <c r="W81" i="1"/>
  <c r="W88" i="1"/>
  <c r="W55" i="1"/>
  <c r="W47" i="1"/>
  <c r="W118" i="1"/>
  <c r="W115" i="1"/>
  <c r="W80" i="1"/>
  <c r="W86" i="1"/>
  <c r="W85" i="1"/>
  <c r="W82" i="1"/>
  <c r="W112" i="1"/>
  <c r="W41" i="1"/>
  <c r="W54" i="1"/>
  <c r="W87" i="1"/>
  <c r="W46" i="1"/>
  <c r="W58" i="1"/>
  <c r="W113" i="1"/>
  <c r="W56" i="1"/>
  <c r="W48" i="1"/>
  <c r="W83" i="1"/>
  <c r="W52" i="1"/>
  <c r="W89" i="1"/>
  <c r="W53" i="1"/>
  <c r="W50" i="1"/>
  <c r="W44" i="1"/>
  <c r="W90" i="1"/>
  <c r="W49" i="1"/>
  <c r="W84" i="1"/>
  <c r="W40" i="1"/>
  <c r="W51" i="1"/>
  <c r="E80" i="1" l="1"/>
  <c r="E74" i="1"/>
  <c r="E62" i="1"/>
  <c r="E63" i="1"/>
  <c r="E64" i="1"/>
  <c r="E65" i="1"/>
  <c r="E66" i="1"/>
  <c r="E67" i="1"/>
  <c r="E68" i="1"/>
  <c r="E69" i="1"/>
  <c r="E70" i="1"/>
  <c r="E71" i="1"/>
  <c r="E61" i="1"/>
  <c r="E81" i="1"/>
  <c r="E82" i="1"/>
  <c r="E83" i="1"/>
  <c r="E84" i="1"/>
  <c r="E85" i="1"/>
  <c r="E86" i="1"/>
  <c r="E87" i="1"/>
  <c r="E88" i="1"/>
  <c r="E89" i="1"/>
  <c r="E90" i="1"/>
  <c r="D128" i="1"/>
  <c r="C72" i="1" l="1"/>
  <c r="S2" i="1"/>
  <c r="D55" i="1"/>
  <c r="D49" i="1"/>
  <c r="D50" i="1"/>
  <c r="D52" i="1"/>
  <c r="D39" i="1"/>
  <c r="D46" i="1"/>
  <c r="D41" i="1"/>
  <c r="D45" i="1"/>
  <c r="D51" i="1"/>
  <c r="D44" i="1"/>
  <c r="D40" i="1"/>
  <c r="D53" i="1"/>
  <c r="D42" i="1"/>
  <c r="D54" i="1"/>
  <c r="D43" i="1"/>
  <c r="W121" i="1"/>
  <c r="Q74" i="1"/>
  <c r="W130" i="1"/>
  <c r="T73" i="1"/>
  <c r="Q73" i="1"/>
  <c r="T74" i="1"/>
  <c r="W132" i="1"/>
  <c r="X130" i="1" l="1"/>
  <c r="Z151" i="1"/>
  <c r="Z152" i="1"/>
  <c r="Z153" i="1"/>
  <c r="Z160" i="1"/>
  <c r="Z164" i="1"/>
  <c r="U140" i="1"/>
  <c r="T85" i="1"/>
  <c r="W168" i="1"/>
  <c r="T83" i="1"/>
  <c r="Q82" i="1"/>
  <c r="T67" i="1"/>
  <c r="Q65" i="1"/>
  <c r="T86" i="1"/>
  <c r="T61" i="1"/>
  <c r="Q83" i="1"/>
  <c r="Q63" i="1"/>
  <c r="Q61" i="1"/>
  <c r="Q84" i="1"/>
  <c r="Q86" i="1"/>
  <c r="T89" i="1"/>
  <c r="Q85" i="1"/>
  <c r="T65" i="1"/>
  <c r="W107" i="1"/>
  <c r="T63" i="1"/>
  <c r="Q71" i="1"/>
  <c r="T70" i="1"/>
  <c r="Q69" i="1"/>
  <c r="T84" i="1"/>
  <c r="W167" i="1"/>
  <c r="Q70" i="1"/>
  <c r="W169" i="1"/>
  <c r="Q67" i="1"/>
  <c r="T88" i="1"/>
  <c r="Q89" i="1"/>
  <c r="T69" i="1"/>
  <c r="T82" i="1"/>
  <c r="Q80" i="1"/>
  <c r="W100" i="1"/>
  <c r="T62" i="1"/>
  <c r="Q88" i="1"/>
  <c r="Q87" i="1"/>
  <c r="Q62" i="1"/>
  <c r="W104" i="1"/>
  <c r="W101" i="1"/>
  <c r="T90" i="1"/>
  <c r="T81" i="1"/>
  <c r="T87" i="1"/>
  <c r="T80" i="1"/>
  <c r="Q66" i="1"/>
  <c r="Q64" i="1"/>
  <c r="T66" i="1"/>
  <c r="T68" i="1"/>
  <c r="Q81" i="1"/>
  <c r="T71" i="1"/>
  <c r="W163" i="1"/>
  <c r="Q68" i="1"/>
  <c r="T64" i="1"/>
  <c r="W165" i="1"/>
  <c r="W166" i="1"/>
  <c r="P79" i="1" l="1"/>
  <c r="U78" i="1"/>
  <c r="U161" i="1"/>
  <c r="U99" i="1"/>
  <c r="O100" i="1" s="1"/>
  <c r="U106" i="1"/>
  <c r="O107" i="1" s="1"/>
  <c r="U103" i="1"/>
  <c r="O104" i="1" s="1"/>
  <c r="U95" i="1"/>
  <c r="U96" i="1"/>
  <c r="S60" i="1"/>
  <c r="P60" i="1"/>
  <c r="U59" i="1"/>
  <c r="O61" i="1" s="1"/>
  <c r="X162" i="1"/>
  <c r="U127" i="1"/>
  <c r="D164" i="1"/>
  <c r="R74" i="1"/>
  <c r="W128" i="1"/>
  <c r="W142" i="1"/>
  <c r="W131" i="1"/>
  <c r="W141" i="1"/>
  <c r="W129" i="1"/>
  <c r="O163" i="1" l="1"/>
  <c r="O98" i="1"/>
  <c r="O97" i="1"/>
  <c r="Y79" i="1"/>
  <c r="O80" i="1"/>
  <c r="Y167" i="1"/>
  <c r="Z167" i="1" s="1"/>
  <c r="Y163" i="1"/>
  <c r="Z163" i="1" s="1"/>
  <c r="Y166" i="1"/>
  <c r="Z166" i="1" s="1"/>
  <c r="Y165" i="1"/>
  <c r="Z165" i="1" s="1"/>
  <c r="Y168" i="1"/>
  <c r="Z168" i="1" s="1"/>
  <c r="Y169" i="1"/>
  <c r="Z169" i="1" s="1"/>
  <c r="U130" i="1"/>
  <c r="T60" i="1"/>
  <c r="Q60" i="1"/>
  <c r="Y60" i="1"/>
  <c r="Z162" i="1"/>
  <c r="T159" i="1"/>
  <c r="T155" i="1"/>
  <c r="T156" i="1"/>
  <c r="T157" i="1"/>
  <c r="T158" i="1"/>
  <c r="T154" i="1"/>
  <c r="R155" i="1"/>
  <c r="S155" i="1"/>
  <c r="R156" i="1"/>
  <c r="S156" i="1"/>
  <c r="R157" i="1"/>
  <c r="S157" i="1"/>
  <c r="R158" i="1"/>
  <c r="S158" i="1"/>
  <c r="R159" i="1"/>
  <c r="S159" i="1"/>
  <c r="S154" i="1"/>
  <c r="R154" i="1"/>
  <c r="G160" i="1"/>
  <c r="Q155" i="1"/>
  <c r="Q156" i="1"/>
  <c r="Q157" i="1"/>
  <c r="Q158" i="1"/>
  <c r="Q159" i="1"/>
  <c r="Q154" i="1"/>
  <c r="S153" i="1"/>
  <c r="R153" i="1"/>
  <c r="F158" i="1"/>
  <c r="F156" i="1"/>
  <c r="F155" i="1"/>
  <c r="F157" i="1"/>
  <c r="F159" i="1"/>
  <c r="F154" i="1"/>
  <c r="S150" i="1"/>
  <c r="AP128" i="1"/>
  <c r="AQ128" i="1"/>
  <c r="AR128" i="1"/>
  <c r="AT128" i="1"/>
  <c r="AS128" i="1"/>
  <c r="O133" i="1" l="1"/>
  <c r="D168" i="1"/>
  <c r="D163" i="1"/>
  <c r="D169" i="1"/>
  <c r="D166" i="1"/>
  <c r="D165" i="1"/>
  <c r="D167" i="1"/>
  <c r="D160" i="1"/>
  <c r="Y157" i="1"/>
  <c r="Y158" i="1"/>
  <c r="Y155" i="1"/>
  <c r="Y159" i="1"/>
  <c r="Y156" i="1"/>
  <c r="Y154" i="1"/>
  <c r="D142" i="1"/>
  <c r="Z154" i="1" l="1"/>
  <c r="Q128" i="1"/>
  <c r="R128" i="1" s="1"/>
  <c r="R126" i="1"/>
  <c r="Q118" i="1"/>
  <c r="AH125" i="1"/>
  <c r="AI125" i="1"/>
  <c r="AR126" i="1"/>
  <c r="W133" i="1"/>
  <c r="AK112" i="1"/>
  <c r="AQ125" i="1"/>
  <c r="AJ126" i="1"/>
  <c r="AR130" i="1"/>
  <c r="AG130" i="1"/>
  <c r="AT125" i="1"/>
  <c r="AQ130" i="1"/>
  <c r="AH130" i="1"/>
  <c r="AO125" i="1"/>
  <c r="AQ126" i="1"/>
  <c r="AT127" i="1"/>
  <c r="AH126" i="1"/>
  <c r="W138" i="1"/>
  <c r="AM130" i="1"/>
  <c r="AS125" i="1"/>
  <c r="AT126" i="1"/>
  <c r="AP126" i="1"/>
  <c r="AQ127" i="1"/>
  <c r="AP130" i="1"/>
  <c r="W136" i="1"/>
  <c r="W134" i="1"/>
  <c r="AJ125" i="1"/>
  <c r="AP127" i="1"/>
  <c r="W137" i="1"/>
  <c r="AS127" i="1"/>
  <c r="AS126" i="1"/>
  <c r="AP125" i="1"/>
  <c r="AI126" i="1"/>
  <c r="AN125" i="1"/>
  <c r="AR127" i="1"/>
  <c r="AK125" i="1"/>
  <c r="AT130" i="1"/>
  <c r="AK126" i="1"/>
  <c r="AG125" i="1"/>
  <c r="AS130" i="1"/>
  <c r="AR125" i="1"/>
  <c r="W135" i="1"/>
  <c r="U126" i="1" l="1"/>
  <c r="U125" i="1"/>
  <c r="AV129" i="1"/>
  <c r="AR131" i="1"/>
  <c r="AP131" i="1"/>
  <c r="AQ131" i="1"/>
  <c r="AS131" i="1"/>
  <c r="AT131" i="1"/>
  <c r="AS115" i="1"/>
  <c r="AN115" i="1"/>
  <c r="AG115" i="1"/>
  <c r="AR115" i="1"/>
  <c r="AO115" i="1"/>
  <c r="AM115" i="1"/>
  <c r="AJ131" i="1"/>
  <c r="AP115" i="1"/>
  <c r="AF115" i="1"/>
  <c r="AI131" i="1"/>
  <c r="AJ115" i="1"/>
  <c r="AK115" i="1"/>
  <c r="AQ115" i="1"/>
  <c r="AF130" i="1"/>
  <c r="AT115" i="1"/>
  <c r="AI115" i="1"/>
  <c r="AL115" i="1"/>
  <c r="AH115" i="1"/>
  <c r="O129" i="1" l="1"/>
  <c r="O128" i="1"/>
  <c r="AK133" i="1"/>
  <c r="X151" i="1"/>
  <c r="X153" i="1"/>
  <c r="AT129" i="1"/>
  <c r="AT132" i="1" s="1"/>
  <c r="AS129" i="1"/>
  <c r="AS132" i="1" s="1"/>
  <c r="AP129" i="1"/>
  <c r="AP132" i="1" s="1"/>
  <c r="AR129" i="1"/>
  <c r="AR132" i="1" s="1"/>
  <c r="AQ129" i="1"/>
  <c r="AQ132" i="1" s="1"/>
  <c r="AT134" i="1"/>
  <c r="AO112" i="1"/>
  <c r="W154" i="1"/>
  <c r="AM112" i="1"/>
  <c r="AK127" i="1"/>
  <c r="AK131" i="1"/>
  <c r="W156" i="1"/>
  <c r="AQ112" i="1"/>
  <c r="W159" i="1"/>
  <c r="AG112" i="1"/>
  <c r="W155" i="1"/>
  <c r="W158" i="1"/>
  <c r="W162" i="1"/>
  <c r="AN112" i="1"/>
  <c r="AT112" i="1"/>
  <c r="AP112" i="1"/>
  <c r="W152" i="1"/>
  <c r="AI112" i="1"/>
  <c r="AL112" i="1"/>
  <c r="W160" i="1"/>
  <c r="AH112" i="1"/>
  <c r="AR112" i="1"/>
  <c r="AJ129" i="1"/>
  <c r="AK128" i="1"/>
  <c r="AS112" i="1"/>
  <c r="W157" i="1"/>
  <c r="AJ112" i="1"/>
  <c r="AI129" i="1"/>
  <c r="W161" i="1"/>
  <c r="AF112" i="1"/>
  <c r="AK130" i="1"/>
  <c r="W153" i="1"/>
  <c r="AR133" i="1" l="1"/>
  <c r="AI133" i="1"/>
  <c r="AH133" i="1"/>
  <c r="AJ133" i="1"/>
  <c r="AT133" i="1"/>
  <c r="AN133" i="1"/>
  <c r="AG133" i="1"/>
  <c r="AQ133" i="1"/>
  <c r="AP133" i="1"/>
  <c r="AS133" i="1"/>
  <c r="AM133" i="1"/>
  <c r="AL133" i="1"/>
  <c r="AO133" i="1"/>
  <c r="AF133" i="1"/>
  <c r="AD130" i="1"/>
  <c r="AD132" i="1"/>
  <c r="AR134" i="1"/>
  <c r="AP134" i="1"/>
  <c r="AS134" i="1"/>
  <c r="AQ134" i="1"/>
  <c r="AK129" i="1"/>
  <c r="AH127" i="1"/>
  <c r="AO127" i="1"/>
  <c r="AJ130" i="1"/>
  <c r="AL126" i="1"/>
  <c r="AH131" i="1"/>
  <c r="AO130" i="1"/>
  <c r="AJ128" i="1"/>
  <c r="AN127" i="1"/>
  <c r="AL130" i="1"/>
  <c r="AF125" i="1"/>
  <c r="AN128" i="1"/>
  <c r="AL128" i="1"/>
  <c r="AN130" i="1"/>
  <c r="AO128" i="1"/>
  <c r="AG128" i="1"/>
  <c r="AO126" i="1"/>
  <c r="AF126" i="1"/>
  <c r="AM126" i="1"/>
  <c r="AL125" i="1"/>
  <c r="AG126" i="1"/>
  <c r="AI128" i="1"/>
  <c r="AN126" i="1"/>
  <c r="AF127" i="1"/>
  <c r="AI132" i="1"/>
  <c r="AI130" i="1"/>
  <c r="AI127" i="1"/>
  <c r="AM128" i="1"/>
  <c r="AG127" i="1"/>
  <c r="AM125" i="1"/>
  <c r="AM127" i="1"/>
  <c r="AJ127" i="1"/>
  <c r="AL127" i="1"/>
  <c r="AJ132" i="1"/>
  <c r="AT156" i="1" l="1"/>
  <c r="AS155" i="1"/>
  <c r="AQ154" i="1"/>
  <c r="AP152" i="1"/>
  <c r="J128" i="1"/>
  <c r="Q129" i="1" s="1"/>
  <c r="R129" i="1" s="1"/>
  <c r="J118" i="1"/>
  <c r="AJ134" i="1"/>
  <c r="AI134" i="1"/>
  <c r="W111" i="1"/>
  <c r="AH129" i="1"/>
  <c r="W117" i="1"/>
  <c r="W109" i="1"/>
  <c r="W127" i="1"/>
  <c r="AN131" i="1"/>
  <c r="AO131" i="1"/>
  <c r="AL131" i="1"/>
  <c r="AK132" i="1"/>
  <c r="AG131" i="1"/>
  <c r="AF131" i="1"/>
  <c r="AM131" i="1"/>
  <c r="W110" i="1"/>
  <c r="X128" i="1" l="1"/>
  <c r="AI139" i="1"/>
  <c r="AJ140" i="1"/>
  <c r="Q121" i="1"/>
  <c r="R121" i="1" s="1"/>
  <c r="X15" i="1"/>
  <c r="X14" i="1"/>
  <c r="X16" i="1"/>
  <c r="D91" i="1"/>
  <c r="AF129" i="1"/>
  <c r="W13" i="1"/>
  <c r="W14" i="1"/>
  <c r="W11" i="1"/>
  <c r="W7" i="1"/>
  <c r="W8" i="1"/>
  <c r="W12" i="1"/>
  <c r="AL129" i="1"/>
  <c r="W9" i="1"/>
  <c r="W10" i="1"/>
  <c r="AN129" i="1"/>
  <c r="W16" i="1"/>
  <c r="AH132" i="1"/>
  <c r="AM129" i="1"/>
  <c r="AG129" i="1"/>
  <c r="AO129" i="1"/>
  <c r="E91" i="1" l="1"/>
  <c r="AL132" i="1"/>
  <c r="X91" i="1"/>
  <c r="AF132" i="1"/>
  <c r="W91" i="1"/>
  <c r="AN132" i="1"/>
  <c r="AG132" i="1"/>
  <c r="AM132" i="1"/>
  <c r="AO132" i="1"/>
  <c r="Y91" i="1" l="1"/>
  <c r="AM134" i="1"/>
  <c r="AG134" i="1"/>
  <c r="AL134" i="1"/>
  <c r="AN134" i="1"/>
  <c r="AO134" i="1"/>
  <c r="AO151" i="1" l="1"/>
  <c r="AN150" i="1"/>
  <c r="AL142" i="1"/>
  <c r="AG137" i="1"/>
  <c r="D72" i="1"/>
  <c r="S79" i="1" l="1"/>
  <c r="X57" i="1" l="1"/>
  <c r="D56" i="1"/>
  <c r="B19" i="4"/>
  <c r="Q20" i="1"/>
  <c r="Q21" i="1"/>
  <c r="Q22" i="1"/>
  <c r="Q23" i="1"/>
  <c r="Q24" i="1"/>
  <c r="Q25" i="1"/>
  <c r="Q26" i="1"/>
  <c r="Q27" i="1"/>
  <c r="Q28" i="1"/>
  <c r="Q29" i="1"/>
  <c r="Q30" i="1"/>
  <c r="Q31" i="1"/>
  <c r="Q32" i="1"/>
  <c r="Q33" i="1"/>
  <c r="Q19" i="1"/>
  <c r="T33" i="1"/>
  <c r="T24" i="1"/>
  <c r="T27" i="1"/>
  <c r="T22" i="1"/>
  <c r="R81" i="1"/>
  <c r="T19" i="1"/>
  <c r="R85" i="1"/>
  <c r="T28" i="1"/>
  <c r="T31" i="1"/>
  <c r="T20" i="1"/>
  <c r="R82" i="1"/>
  <c r="R83" i="1"/>
  <c r="R89" i="1"/>
  <c r="T29" i="1"/>
  <c r="R80" i="1"/>
  <c r="R87" i="1"/>
  <c r="T23" i="1"/>
  <c r="R88" i="1"/>
  <c r="R84" i="1"/>
  <c r="T30" i="1"/>
  <c r="T26" i="1"/>
  <c r="T32" i="1"/>
  <c r="T25" i="1"/>
  <c r="T21" i="1"/>
  <c r="R90" i="1"/>
  <c r="R86" i="1"/>
  <c r="D57" i="1" l="1"/>
  <c r="B24" i="4"/>
  <c r="B12" i="4"/>
  <c r="Z116" i="1"/>
  <c r="Z110" i="1"/>
  <c r="Z77" i="1"/>
  <c r="Z75" i="1"/>
  <c r="Y37" i="1"/>
  <c r="Z35" i="1"/>
  <c r="Z34" i="1"/>
  <c r="Z28" i="1"/>
  <c r="Z23" i="1"/>
  <c r="Z22" i="1"/>
  <c r="Z21" i="1"/>
  <c r="X12" i="1"/>
  <c r="X11" i="1"/>
  <c r="X10" i="1"/>
  <c r="X8" i="1"/>
  <c r="X7" i="1"/>
  <c r="X6" i="1"/>
  <c r="V2" i="1"/>
  <c r="W18" i="1"/>
  <c r="W93" i="1"/>
  <c r="R73" i="1"/>
  <c r="W26" i="1"/>
  <c r="W21" i="1"/>
  <c r="W6" i="1"/>
  <c r="U89" i="1"/>
  <c r="W32" i="1"/>
  <c r="W34" i="1"/>
  <c r="W103" i="1"/>
  <c r="W61" i="1"/>
  <c r="U81" i="1"/>
  <c r="U85" i="1"/>
  <c r="W19" i="1"/>
  <c r="W39" i="1"/>
  <c r="W38" i="1"/>
  <c r="W94" i="1"/>
  <c r="U83" i="1"/>
  <c r="U80" i="1"/>
  <c r="W105" i="1"/>
  <c r="W22" i="1"/>
  <c r="W78" i="1"/>
  <c r="W65" i="1"/>
  <c r="W74" i="1"/>
  <c r="W73" i="1"/>
  <c r="W64" i="1"/>
  <c r="W57" i="1"/>
  <c r="W17" i="1"/>
  <c r="W5" i="1"/>
  <c r="W15" i="1"/>
  <c r="W92" i="1"/>
  <c r="W59" i="1"/>
  <c r="W106" i="1"/>
  <c r="W69" i="1"/>
  <c r="U84" i="1"/>
  <c r="W102" i="1"/>
  <c r="U90" i="1"/>
  <c r="W30" i="1"/>
  <c r="W25" i="1"/>
  <c r="W63" i="1"/>
  <c r="W29" i="1"/>
  <c r="W27" i="1"/>
  <c r="U82" i="1"/>
  <c r="W31" i="1"/>
  <c r="W99" i="1"/>
  <c r="W33" i="1"/>
  <c r="U86" i="1"/>
  <c r="W37" i="1"/>
  <c r="U74" i="1"/>
  <c r="W76" i="1"/>
  <c r="W108" i="1"/>
  <c r="W23" i="1"/>
  <c r="U87" i="1"/>
  <c r="U88" i="1"/>
  <c r="W35" i="1"/>
  <c r="W20" i="1"/>
  <c r="W36" i="1"/>
  <c r="W24" i="1"/>
  <c r="W28" i="1"/>
  <c r="W62" i="1"/>
  <c r="X104" i="1" l="1"/>
  <c r="X121" i="1"/>
  <c r="R118" i="1"/>
  <c r="X131" i="1"/>
  <c r="X124" i="1"/>
  <c r="X123" i="1"/>
  <c r="X107" i="1"/>
  <c r="X118" i="1"/>
  <c r="X101" i="1"/>
  <c r="X100" i="1"/>
  <c r="X18" i="1"/>
  <c r="X168" i="1"/>
  <c r="X169" i="1"/>
  <c r="X165" i="1"/>
  <c r="X166" i="1"/>
  <c r="X167" i="1"/>
  <c r="X163" i="1"/>
  <c r="X97" i="1"/>
  <c r="T2" i="1"/>
  <c r="U109" i="1" s="1"/>
  <c r="X98" i="1"/>
  <c r="X102" i="1"/>
  <c r="U2" i="1"/>
  <c r="X73" i="1"/>
  <c r="X13" i="1"/>
  <c r="X152" i="1"/>
  <c r="X99" i="1"/>
  <c r="X78" i="1"/>
  <c r="Z78" i="1" s="1"/>
  <c r="X95" i="1"/>
  <c r="Z95" i="1" s="1"/>
  <c r="X161" i="1"/>
  <c r="Z161" i="1" s="1"/>
  <c r="X96" i="1"/>
  <c r="X106" i="1"/>
  <c r="X59" i="1"/>
  <c r="AV128" i="1"/>
  <c r="X103" i="1"/>
  <c r="X132" i="1"/>
  <c r="X140" i="1"/>
  <c r="X142" i="1"/>
  <c r="X115" i="1"/>
  <c r="X112" i="1"/>
  <c r="X113" i="1"/>
  <c r="X129" i="1"/>
  <c r="X127" i="1"/>
  <c r="X126" i="1"/>
  <c r="T79" i="1"/>
  <c r="Q79" i="1"/>
  <c r="X74" i="1"/>
  <c r="U37" i="1"/>
  <c r="U9" i="1"/>
  <c r="U4" i="1"/>
  <c r="O5" i="1" s="1"/>
  <c r="X136" i="1"/>
  <c r="X138" i="1"/>
  <c r="X134" i="1"/>
  <c r="X137" i="1"/>
  <c r="X133" i="1"/>
  <c r="X135" i="1"/>
  <c r="X92" i="1"/>
  <c r="Z92" i="1" s="1"/>
  <c r="X55" i="1"/>
  <c r="X51" i="1"/>
  <c r="X46" i="1"/>
  <c r="X41" i="1"/>
  <c r="X54" i="1"/>
  <c r="X50" i="1"/>
  <c r="X45" i="1"/>
  <c r="X40" i="1"/>
  <c r="X53" i="1"/>
  <c r="X44" i="1"/>
  <c r="X43" i="1"/>
  <c r="X48" i="1"/>
  <c r="Z76" i="1"/>
  <c r="X56" i="1"/>
  <c r="X52" i="1"/>
  <c r="X47" i="1"/>
  <c r="X42" i="1"/>
  <c r="X94" i="1"/>
  <c r="X80" i="1"/>
  <c r="X84" i="1"/>
  <c r="X87" i="1"/>
  <c r="X86" i="1"/>
  <c r="X90" i="1"/>
  <c r="X83" i="1"/>
  <c r="X85" i="1"/>
  <c r="X82" i="1"/>
  <c r="X88" i="1"/>
  <c r="X89" i="1"/>
  <c r="X81" i="1"/>
  <c r="Z108" i="1"/>
  <c r="Y80" i="1"/>
  <c r="U49" i="1"/>
  <c r="X49" i="1" s="1"/>
  <c r="U39" i="1"/>
  <c r="X39" i="1" s="1"/>
  <c r="X30" i="1"/>
  <c r="X5" i="1"/>
  <c r="X29" i="1"/>
  <c r="X31" i="1"/>
  <c r="X36" i="1"/>
  <c r="Z36" i="1" s="1"/>
  <c r="X32" i="1"/>
  <c r="X33" i="1"/>
  <c r="X28" i="1"/>
  <c r="U29" i="1"/>
  <c r="U23" i="1"/>
  <c r="U26" i="1"/>
  <c r="U33" i="1"/>
  <c r="X23" i="1"/>
  <c r="U21" i="1"/>
  <c r="U25" i="1"/>
  <c r="U32" i="1"/>
  <c r="Z91" i="1"/>
  <c r="Z93" i="1"/>
  <c r="U20" i="1"/>
  <c r="U22" i="1"/>
  <c r="U24" i="1"/>
  <c r="U28" i="1"/>
  <c r="U31" i="1"/>
  <c r="X22" i="1"/>
  <c r="X19" i="1" s="1"/>
  <c r="U19" i="1"/>
  <c r="U27" i="1"/>
  <c r="U30" i="1"/>
  <c r="U155" i="1"/>
  <c r="U157" i="1"/>
  <c r="U159" i="1"/>
  <c r="U158" i="1"/>
  <c r="U156" i="1"/>
  <c r="U154" i="1"/>
  <c r="R65" i="1"/>
  <c r="R62" i="1"/>
  <c r="U61" i="1"/>
  <c r="AH128" i="1"/>
  <c r="U68" i="1"/>
  <c r="AF128" i="1"/>
  <c r="W126" i="1"/>
  <c r="R69" i="1"/>
  <c r="R70" i="1"/>
  <c r="R64" i="1"/>
  <c r="R61" i="1"/>
  <c r="R66" i="1"/>
  <c r="W125" i="1"/>
  <c r="R67" i="1"/>
  <c r="R71" i="1"/>
  <c r="R68" i="1"/>
  <c r="R63" i="1"/>
  <c r="U73" i="1"/>
  <c r="AF141" i="1" l="1"/>
  <c r="O110" i="1"/>
  <c r="Y125" i="1"/>
  <c r="X109" i="1"/>
  <c r="Z109" i="1" s="1"/>
  <c r="X158" i="1"/>
  <c r="Z158" i="1" s="1"/>
  <c r="X155" i="1"/>
  <c r="Z155" i="1" s="1"/>
  <c r="X157" i="1"/>
  <c r="Z157" i="1" s="1"/>
  <c r="X156" i="1"/>
  <c r="Z156" i="1" s="1"/>
  <c r="X159" i="1"/>
  <c r="Z159" i="1" s="1"/>
  <c r="X154" i="1"/>
  <c r="U150" i="1"/>
  <c r="Y124" i="1"/>
  <c r="Y118" i="1"/>
  <c r="Z118" i="1" s="1"/>
  <c r="Y115" i="1"/>
  <c r="Z115" i="1" s="1"/>
  <c r="Y112" i="1"/>
  <c r="Z112" i="1" s="1"/>
  <c r="Y121" i="1"/>
  <c r="Z121" i="1" s="1"/>
  <c r="Y113" i="1"/>
  <c r="Z113" i="1" s="1"/>
  <c r="Y123" i="1"/>
  <c r="Z123" i="1" s="1"/>
  <c r="Y73" i="1"/>
  <c r="Y96" i="1"/>
  <c r="Y74" i="1"/>
  <c r="Z74" i="1" s="1"/>
  <c r="Y101" i="1"/>
  <c r="Y98" i="1"/>
  <c r="Y104" i="1"/>
  <c r="Y102" i="1"/>
  <c r="Z102" i="1" s="1"/>
  <c r="Y97" i="1"/>
  <c r="Z97" i="1" s="1"/>
  <c r="Y107" i="1"/>
  <c r="Z107" i="1" s="1"/>
  <c r="Y100" i="1"/>
  <c r="Z100" i="1" s="1"/>
  <c r="Y106" i="1"/>
  <c r="Z106" i="1" s="1"/>
  <c r="Y99" i="1"/>
  <c r="Y72" i="1"/>
  <c r="Y103" i="1"/>
  <c r="X117" i="1"/>
  <c r="Z117" i="1" s="1"/>
  <c r="X111" i="1"/>
  <c r="Z111" i="1" s="1"/>
  <c r="Y131" i="1"/>
  <c r="Z131" i="1" s="1"/>
  <c r="Y142" i="1"/>
  <c r="Z142" i="1" s="1"/>
  <c r="Y127" i="1"/>
  <c r="Z127" i="1" s="1"/>
  <c r="Y140" i="1"/>
  <c r="Z140" i="1" s="1"/>
  <c r="Y135" i="1"/>
  <c r="Z135" i="1" s="1"/>
  <c r="Y139" i="1"/>
  <c r="Z139" i="1" s="1"/>
  <c r="Y128" i="1"/>
  <c r="Z128" i="1" s="1"/>
  <c r="Y132" i="1"/>
  <c r="Z132" i="1" s="1"/>
  <c r="Y130" i="1"/>
  <c r="Z130" i="1" s="1"/>
  <c r="Y138" i="1"/>
  <c r="Z138" i="1" s="1"/>
  <c r="Y134" i="1"/>
  <c r="Z134" i="1" s="1"/>
  <c r="Y133" i="1"/>
  <c r="Z133" i="1" s="1"/>
  <c r="Y136" i="1"/>
  <c r="Z136" i="1" s="1"/>
  <c r="Y141" i="1"/>
  <c r="Y137" i="1"/>
  <c r="Z137" i="1" s="1"/>
  <c r="Y129" i="1"/>
  <c r="Z129" i="1" s="1"/>
  <c r="X72" i="1"/>
  <c r="X37" i="1"/>
  <c r="O40" i="1"/>
  <c r="Y13" i="1"/>
  <c r="O10" i="1"/>
  <c r="U17" i="1"/>
  <c r="Y39" i="1"/>
  <c r="Y49" i="1"/>
  <c r="X38" i="1"/>
  <c r="X25" i="1"/>
  <c r="Y16" i="1"/>
  <c r="Z16" i="1" s="1"/>
  <c r="Y15" i="1"/>
  <c r="Y14" i="1"/>
  <c r="Z14" i="1" s="1"/>
  <c r="Y11" i="1"/>
  <c r="Z11" i="1" s="1"/>
  <c r="Y12" i="1"/>
  <c r="Z12" i="1" s="1"/>
  <c r="X9" i="1"/>
  <c r="Y10" i="1"/>
  <c r="Z10" i="1" s="1"/>
  <c r="Y7" i="1"/>
  <c r="Z7" i="1" s="1"/>
  <c r="Y8" i="1"/>
  <c r="Z8" i="1" s="1"/>
  <c r="X4" i="1"/>
  <c r="Z4" i="1" s="1"/>
  <c r="Y6" i="1"/>
  <c r="Z6" i="1" s="1"/>
  <c r="X68" i="1"/>
  <c r="X61" i="1"/>
  <c r="U38" i="1"/>
  <c r="Z80" i="1"/>
  <c r="Y81" i="1"/>
  <c r="Y87" i="1"/>
  <c r="Y82" i="1"/>
  <c r="Y88" i="1"/>
  <c r="Y83" i="1"/>
  <c r="Y84" i="1"/>
  <c r="Y90" i="1"/>
  <c r="Y89" i="1"/>
  <c r="Y85" i="1"/>
  <c r="Y86" i="1"/>
  <c r="Y61" i="1"/>
  <c r="Y68" i="1"/>
  <c r="Z58" i="1"/>
  <c r="X20" i="1"/>
  <c r="Z105" i="1"/>
  <c r="AK134" i="1"/>
  <c r="AF134" i="1"/>
  <c r="AH134" i="1"/>
  <c r="U71" i="1"/>
  <c r="Y44" i="1"/>
  <c r="Y55" i="1"/>
  <c r="U65" i="1"/>
  <c r="Y53" i="1"/>
  <c r="Y51" i="1"/>
  <c r="U64" i="1"/>
  <c r="W70" i="1"/>
  <c r="Y52" i="1"/>
  <c r="Y48" i="1"/>
  <c r="U67" i="1"/>
  <c r="U62" i="1"/>
  <c r="Y50" i="1"/>
  <c r="U69" i="1"/>
  <c r="U66" i="1"/>
  <c r="W71" i="1"/>
  <c r="Y47" i="1"/>
  <c r="Y56" i="1"/>
  <c r="Y43" i="1"/>
  <c r="Y45" i="1"/>
  <c r="Y46" i="1"/>
  <c r="U63" i="1"/>
  <c r="U70" i="1"/>
  <c r="Y41" i="1"/>
  <c r="Y54" i="1"/>
  <c r="Y42" i="1"/>
  <c r="Y40" i="1"/>
  <c r="AH138" i="1" l="1"/>
  <c r="AF136" i="1"/>
  <c r="O154" i="1"/>
  <c r="X150" i="1"/>
  <c r="Z150" i="1" s="1"/>
  <c r="Y69" i="1"/>
  <c r="X69" i="1"/>
  <c r="X67" i="1"/>
  <c r="Y67" i="1"/>
  <c r="X64" i="1"/>
  <c r="Y64" i="1"/>
  <c r="Y24" i="1"/>
  <c r="O19" i="1"/>
  <c r="Y65" i="1"/>
  <c r="X65" i="1"/>
  <c r="X63" i="1"/>
  <c r="Y62" i="1"/>
  <c r="X62" i="1"/>
  <c r="X71" i="1"/>
  <c r="Z38" i="1"/>
  <c r="Z37" i="1"/>
  <c r="Z49" i="1"/>
  <c r="Z39" i="1"/>
  <c r="Y19" i="1"/>
  <c r="Z19" i="1" s="1"/>
  <c r="Y20" i="1"/>
  <c r="Z20" i="1" s="1"/>
  <c r="Y33" i="1"/>
  <c r="Z33" i="1" s="1"/>
  <c r="Y26" i="1"/>
  <c r="Y32" i="1"/>
  <c r="Z32" i="1" s="1"/>
  <c r="Y25" i="1"/>
  <c r="Y31" i="1"/>
  <c r="Z31" i="1" s="1"/>
  <c r="Y27" i="1"/>
  <c r="U3" i="1"/>
  <c r="Y5" i="1" s="1"/>
  <c r="Y29" i="1"/>
  <c r="Z29" i="1" s="1"/>
  <c r="Y30" i="1"/>
  <c r="Z30" i="1" s="1"/>
  <c r="X17" i="1"/>
  <c r="Z17" i="1" s="1"/>
  <c r="Y18" i="1"/>
  <c r="Z18" i="1" s="1"/>
  <c r="Y71" i="1"/>
  <c r="X70" i="1"/>
  <c r="X66" i="1"/>
  <c r="Z103" i="1"/>
  <c r="Z104" i="1"/>
  <c r="Z99" i="1"/>
  <c r="Z101" i="1"/>
  <c r="X141" i="1"/>
  <c r="Z141" i="1" s="1"/>
  <c r="AK141" i="1"/>
  <c r="Z124" i="1"/>
  <c r="Z125" i="1"/>
  <c r="Z126" i="1"/>
  <c r="Y66" i="1"/>
  <c r="Y70" i="1"/>
  <c r="Z48" i="1"/>
  <c r="Z42" i="1"/>
  <c r="Z44" i="1"/>
  <c r="Z47" i="1"/>
  <c r="Z45" i="1"/>
  <c r="Z43" i="1"/>
  <c r="Z41" i="1"/>
  <c r="Z46" i="1"/>
  <c r="Z40" i="1"/>
  <c r="Z86" i="1"/>
  <c r="Z85" i="1"/>
  <c r="Z83" i="1"/>
  <c r="Z89" i="1"/>
  <c r="Z84" i="1"/>
  <c r="Z87" i="1"/>
  <c r="Z61" i="1"/>
  <c r="Y63" i="1"/>
  <c r="Z68" i="1"/>
  <c r="Z73" i="1"/>
  <c r="E10" i="1" l="1"/>
  <c r="Z64" i="1"/>
  <c r="Z67" i="1"/>
  <c r="Z69" i="1"/>
  <c r="Z62" i="1"/>
  <c r="F12" i="1"/>
  <c r="G12" i="1" s="1"/>
  <c r="E12" i="1"/>
  <c r="F11" i="1"/>
  <c r="G11" i="1" s="1"/>
  <c r="F10" i="1"/>
  <c r="G10" i="1" s="1"/>
  <c r="E11" i="1"/>
  <c r="Z65" i="1"/>
  <c r="Z71" i="1"/>
  <c r="Z70" i="1"/>
  <c r="Z66" i="1"/>
  <c r="Z15" i="1"/>
  <c r="Z63" i="1"/>
  <c r="Z72" i="1"/>
  <c r="W72" i="1"/>
  <c r="X3" i="1" l="1"/>
  <c r="Z3" i="1" s="1"/>
  <c r="Z13" i="1"/>
  <c r="Z5" i="1"/>
  <c r="E72" i="1"/>
  <c r="C75" i="1"/>
  <c r="D75" i="1"/>
  <c r="Y57" i="1"/>
  <c r="W75" i="1"/>
  <c r="W96" i="1"/>
  <c r="Z9" i="1" l="1"/>
  <c r="Z98" i="1"/>
  <c r="V79" i="1"/>
  <c r="Z88" i="1"/>
  <c r="Z96" i="1"/>
  <c r="Z50" i="1"/>
  <c r="Z53" i="1"/>
  <c r="Z55" i="1"/>
  <c r="Z52" i="1"/>
  <c r="Z54" i="1"/>
  <c r="Z56" i="1"/>
  <c r="Z51" i="1"/>
  <c r="C76" i="1"/>
  <c r="C92" i="1"/>
  <c r="X24" i="1"/>
  <c r="Z24" i="1" s="1"/>
  <c r="X27" i="1"/>
  <c r="Z27" i="1" s="1"/>
  <c r="X26" i="1"/>
  <c r="W66" i="1"/>
  <c r="W68" i="1"/>
  <c r="W67" i="1"/>
  <c r="W79" i="1" l="1"/>
  <c r="X79" i="1" s="1"/>
  <c r="Z26" i="1"/>
  <c r="Z90" i="1"/>
  <c r="V60" i="1"/>
  <c r="Z57" i="1"/>
  <c r="Z25" i="1"/>
  <c r="Z59" i="1" l="1"/>
  <c r="Z79" i="1"/>
  <c r="W60" i="1"/>
  <c r="X60" i="1" s="1"/>
  <c r="Z82" i="1"/>
  <c r="Y94" i="1"/>
  <c r="Z60" i="1" l="1"/>
  <c r="Z94" i="1"/>
  <c r="Z8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newmand</author>
    <author>Linda Ferguson</author>
    <author>lindaf1</author>
    <author>Claire Nevill</author>
    <author>Tina Wilson</author>
  </authors>
  <commentList>
    <comment ref="S1" authorId="0" shapeId="0" xr:uid="{00000000-0006-0000-0000-000001000000}">
      <text>
        <r>
          <rPr>
            <b/>
            <sz val="9"/>
            <color indexed="81"/>
            <rFont val="Tahoma"/>
            <family val="2"/>
          </rPr>
          <t>newmand:</t>
        </r>
        <r>
          <rPr>
            <sz val="9"/>
            <color indexed="81"/>
            <rFont val="Tahoma"/>
            <family val="2"/>
          </rPr>
          <t xml:space="preserve">
</t>
        </r>
      </text>
    </comment>
    <comment ref="S2" authorId="0" shapeId="0" xr:uid="{00000000-0006-0000-0000-000002000000}">
      <text>
        <r>
          <rPr>
            <b/>
            <sz val="9"/>
            <color indexed="81"/>
            <rFont val="Tahoma"/>
            <family val="2"/>
          </rPr>
          <t xml:space="preserve">
                  Named Cell:  'NotStarted
Named Cell 'NotStarted'
</t>
        </r>
        <r>
          <rPr>
            <sz val="9"/>
            <color indexed="81"/>
            <rFont val="Tahoma"/>
            <family val="2"/>
          </rPr>
          <t xml:space="preserve">
  This named cell is used in formulas to give a &lt; not started&gt; message
Alter this if youwant to include other characters
</t>
        </r>
      </text>
    </comment>
    <comment ref="T2" authorId="0" shapeId="0" xr:uid="{00000000-0006-0000-0000-000003000000}">
      <text>
        <r>
          <rPr>
            <b/>
            <sz val="9"/>
            <color indexed="81"/>
            <rFont val="Tahoma"/>
            <family val="2"/>
          </rPr>
          <t xml:space="preserve">
                  Named Cell:  'NotStarted
Named Cell 'Started'
</t>
        </r>
        <r>
          <rPr>
            <sz val="9"/>
            <color indexed="81"/>
            <rFont val="Tahoma"/>
            <family val="2"/>
          </rPr>
          <t xml:space="preserve">
  This named cell is used in formulas to give a &lt;  started&gt; message
Alter this if youwant to include other characters
</t>
        </r>
      </text>
    </comment>
    <comment ref="U2" authorId="0" shapeId="0" xr:uid="{00000000-0006-0000-0000-000004000000}">
      <text>
        <r>
          <rPr>
            <b/>
            <sz val="9"/>
            <color indexed="81"/>
            <rFont val="Tahoma"/>
            <family val="2"/>
          </rPr>
          <t xml:space="preserve">
                  Named Cell:  'All Completed</t>
        </r>
        <r>
          <rPr>
            <sz val="9"/>
            <color indexed="81"/>
            <rFont val="Tahoma"/>
            <family val="2"/>
          </rPr>
          <t xml:space="preserve">
  Text for message when a section is completed
</t>
        </r>
      </text>
    </comment>
    <comment ref="V2" authorId="0" shapeId="0" xr:uid="{00000000-0006-0000-0000-000005000000}">
      <text>
        <r>
          <rPr>
            <b/>
            <sz val="9"/>
            <color indexed="81"/>
            <rFont val="Tahoma"/>
            <family val="2"/>
          </rPr>
          <t xml:space="preserve">
                  Named Cell:  'LineBreak'
</t>
        </r>
        <r>
          <rPr>
            <sz val="9"/>
            <color indexed="81"/>
            <rFont val="Tahoma"/>
            <family val="2"/>
          </rPr>
          <t xml:space="preserve">
  This named cell is used in formulas to give a linebreak
   ( I used ALT + Enter )  in the text output of the 
    expression
  Eg     =LineBreak   - give single blank line
           =LineBreak &amp; "Next Section"
                             - gives blank line before the text.
</t>
        </r>
      </text>
    </comment>
    <comment ref="W2" authorId="0" shapeId="0" xr:uid="{00000000-0006-0000-0000-000006000000}">
      <text>
        <r>
          <rPr>
            <b/>
            <sz val="9"/>
            <color indexed="81"/>
            <rFont val="Tahoma"/>
            <family val="2"/>
          </rPr>
          <t xml:space="preserve">
                  Named Cell:  'Indent'
</t>
        </r>
        <r>
          <rPr>
            <sz val="9"/>
            <color indexed="81"/>
            <rFont val="Tahoma"/>
            <family val="2"/>
          </rPr>
          <t xml:space="preserve">
  This named cell is used in formulas to give a space BEFORE TEXT APPEARS
To change just click in the cell and press the space bar as many times as required
</t>
        </r>
      </text>
    </comment>
    <comment ref="W4" authorId="0" shapeId="0" xr:uid="{00000000-0006-0000-0000-000007000000}">
      <text>
        <r>
          <rPr>
            <b/>
            <sz val="9"/>
            <color indexed="81"/>
            <rFont val="Tahoma"/>
            <family val="2"/>
          </rPr>
          <t>newmand:</t>
        </r>
        <r>
          <rPr>
            <sz val="9"/>
            <color indexed="81"/>
            <rFont val="Tahoma"/>
            <family val="2"/>
          </rPr>
          <t xml:space="preserve">
1 = not filled in
This uses the reference in the previous column to look up a Form cell to see whether it is Blank or Zero.
If so then a value of 1 appears
So you can count empty Form cells easilty</t>
        </r>
      </text>
    </comment>
    <comment ref="X5" authorId="0" shapeId="0" xr:uid="{00000000-0006-0000-0000-000008000000}">
      <text>
        <r>
          <rPr>
            <sz val="9"/>
            <color indexed="81"/>
            <rFont val="Tahoma"/>
            <family val="2"/>
          </rPr>
          <t>Missing Data item</t>
        </r>
      </text>
    </comment>
    <comment ref="X6" authorId="0" shapeId="0" xr:uid="{00000000-0006-0000-0000-000009000000}">
      <text>
        <r>
          <rPr>
            <sz val="9"/>
            <color indexed="81"/>
            <rFont val="Tahoma"/>
            <family val="2"/>
          </rPr>
          <t>Missing Data item</t>
        </r>
      </text>
    </comment>
    <comment ref="X7" authorId="0" shapeId="0" xr:uid="{00000000-0006-0000-0000-00000A000000}">
      <text>
        <r>
          <rPr>
            <sz val="9"/>
            <color indexed="81"/>
            <rFont val="Tahoma"/>
            <family val="2"/>
          </rPr>
          <t>Missing Data item</t>
        </r>
      </text>
    </comment>
    <comment ref="X8" authorId="0" shapeId="0" xr:uid="{00000000-0006-0000-0000-00000B000000}">
      <text>
        <r>
          <rPr>
            <sz val="9"/>
            <color indexed="81"/>
            <rFont val="Tahoma"/>
            <family val="2"/>
          </rPr>
          <t>Missing Data item</t>
        </r>
      </text>
    </comment>
    <comment ref="X10" authorId="0" shapeId="0" xr:uid="{00000000-0006-0000-0000-00000C000000}">
      <text>
        <r>
          <rPr>
            <sz val="9"/>
            <color indexed="81"/>
            <rFont val="Tahoma"/>
            <family val="2"/>
          </rPr>
          <t>Missing Data item</t>
        </r>
      </text>
    </comment>
    <comment ref="X11" authorId="0" shapeId="0" xr:uid="{00000000-0006-0000-0000-00000D000000}">
      <text>
        <r>
          <rPr>
            <sz val="9"/>
            <color indexed="81"/>
            <rFont val="Tahoma"/>
            <family val="2"/>
          </rPr>
          <t>Missing Data item</t>
        </r>
      </text>
    </comment>
    <comment ref="X12" authorId="0" shapeId="0" xr:uid="{00000000-0006-0000-0000-00000E000000}">
      <text>
        <r>
          <rPr>
            <sz val="9"/>
            <color indexed="81"/>
            <rFont val="Tahoma"/>
            <family val="2"/>
          </rPr>
          <t>Missing Data item</t>
        </r>
      </text>
    </comment>
    <comment ref="X13" authorId="0" shapeId="0" xr:uid="{00000000-0006-0000-0000-00000F000000}">
      <text>
        <r>
          <rPr>
            <sz val="9"/>
            <color indexed="81"/>
            <rFont val="Tahoma"/>
            <family val="2"/>
          </rPr>
          <t>Missing Data item</t>
        </r>
      </text>
    </comment>
    <comment ref="X14" authorId="0" shapeId="0" xr:uid="{00000000-0006-0000-0000-000010000000}">
      <text>
        <r>
          <rPr>
            <sz val="9"/>
            <color indexed="81"/>
            <rFont val="Tahoma"/>
            <family val="2"/>
          </rPr>
          <t>Missing Data item</t>
        </r>
      </text>
    </comment>
    <comment ref="X15" authorId="0" shapeId="0" xr:uid="{00000000-0006-0000-0000-000011000000}">
      <text>
        <r>
          <rPr>
            <sz val="9"/>
            <color indexed="81"/>
            <rFont val="Tahoma"/>
            <family val="2"/>
          </rPr>
          <t>Missing Data item</t>
        </r>
      </text>
    </comment>
    <comment ref="A17" authorId="1" shapeId="0" xr:uid="{00000000-0006-0000-0000-000012000000}">
      <text>
        <r>
          <rPr>
            <b/>
            <sz val="11"/>
            <color indexed="81"/>
            <rFont val="Calibri"/>
            <family val="2"/>
            <scheme val="minor"/>
          </rPr>
          <t>DEFINITION:</t>
        </r>
        <r>
          <rPr>
            <sz val="11"/>
            <color indexed="81"/>
            <rFont val="Calibri"/>
            <family val="2"/>
            <scheme val="minor"/>
          </rPr>
          <t xml:space="preserve">
Only LIST those with which you have a service level agreement (SLA) or other "formal documented agreement". Enter your managing organisation first.</t>
        </r>
        <r>
          <rPr>
            <sz val="11"/>
            <color indexed="81"/>
            <rFont val="Tahoma"/>
            <family val="2"/>
          </rPr>
          <t xml:space="preserve">
</t>
        </r>
      </text>
    </comment>
    <comment ref="D17" authorId="1" shapeId="0" xr:uid="{00000000-0006-0000-0000-000013000000}">
      <text>
        <r>
          <rPr>
            <sz val="9"/>
            <color indexed="81"/>
            <rFont val="Tahoma"/>
            <family val="2"/>
          </rPr>
          <t xml:space="preserve">18 service organisation types are listed.
Please use "other" if the ones listed are not suitable.
</t>
        </r>
      </text>
    </comment>
    <comment ref="Q18" authorId="0" shapeId="0" xr:uid="{00000000-0006-0000-0000-000014000000}">
      <text>
        <r>
          <rPr>
            <b/>
            <sz val="9"/>
            <color indexed="81"/>
            <rFont val="Tahoma"/>
            <family val="2"/>
          </rPr>
          <t xml:space="preserve">      Others
</t>
        </r>
        <r>
          <rPr>
            <sz val="9"/>
            <color indexed="81"/>
            <rFont val="Tahoma"/>
            <family val="2"/>
          </rPr>
          <t xml:space="preserve">
0 = Both Blank
1 = Both filled
2 = Explanation missing
3= Explanation but not 'other'</t>
        </r>
      </text>
    </comment>
    <comment ref="U18" authorId="0" shapeId="0" xr:uid="{00000000-0006-0000-0000-000015000000}">
      <text>
        <r>
          <rPr>
            <b/>
            <sz val="9"/>
            <color indexed="81"/>
            <rFont val="Tahoma"/>
            <family val="2"/>
          </rPr>
          <t>newmand:</t>
        </r>
        <r>
          <rPr>
            <sz val="9"/>
            <color indexed="81"/>
            <rFont val="Tahoma"/>
            <family val="2"/>
          </rPr>
          <t xml:space="preserve">
0 = Both Blank
1 = Both filled
2 = Organisation missing
3= Type missing</t>
        </r>
      </text>
    </comment>
    <comment ref="X18" authorId="0" shapeId="0" xr:uid="{00000000-0006-0000-0000-000016000000}">
      <text>
        <r>
          <rPr>
            <sz val="9"/>
            <color indexed="81"/>
            <rFont val="Tahoma"/>
            <family val="2"/>
          </rPr>
          <t>No organisations entered</t>
        </r>
      </text>
    </comment>
    <comment ref="X19" authorId="0" shapeId="0" xr:uid="{00000000-0006-0000-0000-000017000000}">
      <text>
        <r>
          <rPr>
            <sz val="9"/>
            <color indexed="81"/>
            <rFont val="Tahoma"/>
            <family val="2"/>
          </rPr>
          <t>Less than 3 organisations</t>
        </r>
      </text>
    </comment>
    <comment ref="D20" authorId="0" shapeId="0" xr:uid="{DAD603F0-E0FE-4E0E-A327-86BF7687507F}">
      <text>
        <r>
          <rPr>
            <sz val="10"/>
            <color indexed="81"/>
            <rFont val="Tahoma"/>
            <family val="2"/>
          </rPr>
          <t xml:space="preserve">USE DROPDOWN
</t>
        </r>
      </text>
    </comment>
    <comment ref="X20" authorId="0" shapeId="0" xr:uid="{00000000-0006-0000-0000-000018000000}">
      <text>
        <r>
          <rPr>
            <sz val="9"/>
            <color indexed="81"/>
            <rFont val="Tahoma"/>
            <family val="2"/>
          </rPr>
          <t>Prompt to check for organisations recorded</t>
        </r>
        <r>
          <rPr>
            <b/>
            <sz val="9"/>
            <color indexed="81"/>
            <rFont val="Tahoma"/>
            <family val="2"/>
          </rPr>
          <t xml:space="preserve">
</t>
        </r>
      </text>
    </comment>
    <comment ref="X22" authorId="0" shapeId="0" xr:uid="{00000000-0006-0000-0000-000019000000}">
      <text>
        <r>
          <rPr>
            <b/>
            <sz val="9"/>
            <color indexed="81"/>
            <rFont val="Tahoma"/>
            <family val="2"/>
          </rPr>
          <t>newmand:</t>
        </r>
        <r>
          <rPr>
            <sz val="9"/>
            <color indexed="81"/>
            <rFont val="Tahoma"/>
            <family val="2"/>
          </rPr>
          <t xml:space="preserve">
Calculated
</t>
        </r>
      </text>
    </comment>
    <comment ref="X23" authorId="0" shapeId="0" xr:uid="{00000000-0006-0000-0000-00001A000000}">
      <text>
        <r>
          <rPr>
            <b/>
            <sz val="9"/>
            <color indexed="81"/>
            <rFont val="Tahoma"/>
            <family val="2"/>
          </rPr>
          <t>newmand:</t>
        </r>
        <r>
          <rPr>
            <sz val="9"/>
            <color indexed="81"/>
            <rFont val="Tahoma"/>
            <family val="2"/>
          </rPr>
          <t xml:space="preserve">
Calculation</t>
        </r>
      </text>
    </comment>
    <comment ref="U38" authorId="0" shapeId="0" xr:uid="{00000000-0006-0000-0000-00001B000000}">
      <text>
        <r>
          <rPr>
            <b/>
            <sz val="9"/>
            <color indexed="81"/>
            <rFont val="Tahoma"/>
            <family val="2"/>
          </rPr>
          <t>newmand:</t>
        </r>
        <r>
          <rPr>
            <sz val="9"/>
            <color indexed="81"/>
            <rFont val="Tahoma"/>
            <family val="2"/>
          </rPr>
          <t xml:space="preserve">
Calculation</t>
        </r>
      </text>
    </comment>
    <comment ref="U47" authorId="0" shapeId="0" xr:uid="{00000000-0006-0000-0000-00001C000000}">
      <text>
        <r>
          <rPr>
            <b/>
            <sz val="9"/>
            <color indexed="81"/>
            <rFont val="Tahoma"/>
            <family val="2"/>
          </rPr>
          <t xml:space="preserve">       WTEs &amp; HeadCounts
</t>
        </r>
        <r>
          <rPr>
            <sz val="9"/>
            <color indexed="81"/>
            <rFont val="Tahoma"/>
            <family val="2"/>
          </rPr>
          <t xml:space="preserve">
0 : No entries
1: WTE no Head count
2: No WTE but Headcount
3: Both WTE &amp; Headcount
4: WTE Exceeds Headcount</t>
        </r>
      </text>
    </comment>
    <comment ref="D48" authorId="1" shapeId="0" xr:uid="{00000000-0006-0000-0000-00001D000000}">
      <text>
        <r>
          <rPr>
            <sz val="10"/>
            <color indexed="81"/>
            <rFont val="Tahoma"/>
            <family val="2"/>
          </rPr>
          <t>This cell automatically calculates the total of 1.1 - 1.9</t>
        </r>
      </text>
    </comment>
    <comment ref="U55" authorId="0" shapeId="0" xr:uid="{00000000-0006-0000-0000-00001E000000}">
      <text>
        <r>
          <rPr>
            <b/>
            <sz val="9"/>
            <color indexed="81"/>
            <rFont val="Tahoma"/>
            <family val="2"/>
          </rPr>
          <t xml:space="preserve">      Vacancies 
WTE &amp; HeadCounts
</t>
        </r>
        <r>
          <rPr>
            <sz val="9"/>
            <color indexed="81"/>
            <rFont val="Tahoma"/>
            <family val="2"/>
          </rPr>
          <t xml:space="preserve">
0 : No entries
1: WTE no Head count
2: No WTE but Headcount
3: Both WTE &amp; Headcount
4: WTE Exceeds Headcount
</t>
        </r>
      </text>
    </comment>
    <comment ref="D56" authorId="1" shapeId="0" xr:uid="{00000000-0006-0000-0000-00001F000000}">
      <text>
        <r>
          <rPr>
            <sz val="9"/>
            <color indexed="81"/>
            <rFont val="Tahoma"/>
            <family val="2"/>
          </rPr>
          <t>This cell automatically calculates the total of 1.1 0a-g- 1.10</t>
        </r>
      </text>
    </comment>
    <comment ref="B57" authorId="0" shapeId="0" xr:uid="{00000000-0006-0000-0000-000020000000}">
      <text>
        <r>
          <rPr>
            <b/>
            <sz val="9"/>
            <color indexed="81"/>
            <rFont val="Tahoma"/>
            <family val="2"/>
          </rPr>
          <t xml:space="preserve">TOTALS ARE AUTOMATIC
</t>
        </r>
        <r>
          <rPr>
            <sz val="9"/>
            <color indexed="81"/>
            <rFont val="Tahoma"/>
            <family val="2"/>
          </rPr>
          <t>But if you don't have the breakdown detail just enter the total numbers on its own</t>
        </r>
      </text>
    </comment>
    <comment ref="C57" authorId="1" shapeId="0" xr:uid="{00000000-0006-0000-0000-000021000000}">
      <text>
        <r>
          <rPr>
            <sz val="10"/>
            <color indexed="81"/>
            <rFont val="Tahoma"/>
            <family val="2"/>
          </rPr>
          <t xml:space="preserve">Leave blank except when you haven't been able to add any details in this column
</t>
        </r>
      </text>
    </comment>
    <comment ref="D57" authorId="1" shapeId="0" xr:uid="{00000000-0006-0000-0000-000022000000}">
      <text>
        <r>
          <rPr>
            <sz val="8"/>
            <color indexed="81"/>
            <rFont val="Tahoma"/>
            <family val="2"/>
          </rPr>
          <t>This cell automatically calculates the total of 1.1 - 1.10</t>
        </r>
      </text>
    </comment>
    <comment ref="C58" authorId="1" shapeId="0" xr:uid="{00000000-0006-0000-0000-000023000000}">
      <text>
        <r>
          <rPr>
            <sz val="10"/>
            <color indexed="81"/>
            <rFont val="Tahoma"/>
            <family val="2"/>
          </rPr>
          <t xml:space="preserve">Leave blank except when you haven't been able to add any details in this column
</t>
        </r>
      </text>
    </comment>
    <comment ref="C72" authorId="2" shapeId="0" xr:uid="{00000000-0006-0000-0000-000024000000}">
      <text>
        <r>
          <rPr>
            <sz val="8"/>
            <color indexed="81"/>
            <rFont val="Tahoma"/>
            <family val="2"/>
          </rPr>
          <t>This cell automatically calculates 
the total of 2.1 - 2.10 (recurrent)
Formula:   =SUM(C61:C71)</t>
        </r>
      </text>
    </comment>
    <comment ref="D72" authorId="2" shapeId="0" xr:uid="{00000000-0006-0000-0000-000025000000}">
      <text>
        <r>
          <rPr>
            <sz val="8"/>
            <color indexed="81"/>
            <rFont val="Tahoma"/>
            <family val="2"/>
          </rPr>
          <t>This cell automatically calculates the total of 2.1 - 2.10 (non-recurrent)
Formula:   =SUM(D61:D71)</t>
        </r>
      </text>
    </comment>
    <comment ref="C73" authorId="1" shapeId="0" xr:uid="{00000000-0006-0000-0000-000026000000}">
      <text>
        <r>
          <rPr>
            <sz val="9"/>
            <color indexed="81"/>
            <rFont val="Tahoma"/>
            <family val="2"/>
          </rPr>
          <t xml:space="preserve">We'd also like details of your  top 3 expenditures in the comments section too
 (with amounts)
</t>
        </r>
      </text>
    </comment>
    <comment ref="E73" authorId="0" shapeId="0" xr:uid="{00000000-0006-0000-0000-000027000000}">
      <text>
        <r>
          <rPr>
            <b/>
            <sz val="9"/>
            <color indexed="81"/>
            <rFont val="Tahoma"/>
            <family val="2"/>
          </rPr>
          <t>Your top 3 Other Items</t>
        </r>
        <r>
          <rPr>
            <sz val="9"/>
            <color indexed="81"/>
            <rFont val="Tahoma"/>
            <family val="2"/>
          </rPr>
          <t xml:space="preserve">
list your top 3 highest expenditure Other items with the amount so we can assess whether additional expenditure categories are needed. </t>
        </r>
      </text>
    </comment>
    <comment ref="C76" authorId="1" shapeId="0" xr:uid="{00000000-0006-0000-0000-000028000000}">
      <text>
        <r>
          <rPr>
            <sz val="8"/>
            <color indexed="81"/>
            <rFont val="Tahoma"/>
            <family val="2"/>
          </rPr>
          <t>This cell automatically calculates the overall expenditure (i.e. totals recurrent and non-recurrent expenditure)</t>
        </r>
      </text>
    </comment>
    <comment ref="B78" authorId="3" shapeId="0" xr:uid="{00000000-0006-0000-0000-000029000000}">
      <text>
        <r>
          <rPr>
            <sz val="8"/>
            <color indexed="81"/>
            <rFont val="Tahoma"/>
            <family val="2"/>
          </rPr>
          <t>It is recommended that you discuss this with your Finance Department before completing the form.</t>
        </r>
        <r>
          <rPr>
            <b/>
            <sz val="8"/>
            <color indexed="81"/>
            <rFont val="Tahoma"/>
            <family val="2"/>
          </rPr>
          <t xml:space="preserve">
</t>
        </r>
        <r>
          <rPr>
            <sz val="8"/>
            <color indexed="81"/>
            <rFont val="Tahoma"/>
            <family val="2"/>
          </rPr>
          <t xml:space="preserve">
</t>
        </r>
        <r>
          <rPr>
            <b/>
            <sz val="8"/>
            <color indexed="81"/>
            <rFont val="Tahoma"/>
            <family val="2"/>
          </rPr>
          <t>INCOME</t>
        </r>
        <r>
          <rPr>
            <sz val="8"/>
            <color indexed="81"/>
            <rFont val="Tahoma"/>
            <family val="2"/>
          </rPr>
          <t xml:space="preserve"> is defined as income for library operational budgets. This </t>
        </r>
        <r>
          <rPr>
            <b/>
            <sz val="8"/>
            <color indexed="81"/>
            <rFont val="Tahoma"/>
            <family val="2"/>
          </rPr>
          <t>excludes</t>
        </r>
        <r>
          <rPr>
            <sz val="8"/>
            <color indexed="81"/>
            <rFont val="Tahoma"/>
            <family val="2"/>
          </rPr>
          <t xml:space="preserve"> capital costs/overheads outside librarian control.</t>
        </r>
      </text>
    </comment>
    <comment ref="C79" authorId="4" shapeId="0" xr:uid="{00000000-0006-0000-0000-00002A000000}">
      <text>
        <r>
          <rPr>
            <sz val="8"/>
            <color indexed="81"/>
            <rFont val="Tahoma"/>
            <family val="2"/>
          </rPr>
          <t>Recurrent means income considered to be fairly safe year-on-year.</t>
        </r>
      </text>
    </comment>
    <comment ref="D79" authorId="4" shapeId="0" xr:uid="{00000000-0006-0000-0000-00002B000000}">
      <text>
        <r>
          <rPr>
            <sz val="8"/>
            <color indexed="81"/>
            <rFont val="Tahoma"/>
            <family val="2"/>
          </rPr>
          <t>Non-recurrent or project is generally income provided during the course of a year for a specific purchase/ project, etc.</t>
        </r>
      </text>
    </comment>
    <comment ref="Y79" authorId="0" shapeId="0" xr:uid="{00000000-0006-0000-0000-00002C000000}">
      <text>
        <r>
          <rPr>
            <b/>
            <sz val="9"/>
            <color indexed="81"/>
            <rFont val="Tahoma"/>
            <family val="2"/>
          </rPr>
          <t>newmand:</t>
        </r>
        <r>
          <rPr>
            <sz val="9"/>
            <color indexed="81"/>
            <rFont val="Tahoma"/>
            <family val="2"/>
          </rPr>
          <t xml:space="preserve">
Not used directly so just 'False' permanently</t>
        </r>
      </text>
    </comment>
    <comment ref="Q90" authorId="0" shapeId="0" xr:uid="{00000000-0006-0000-0000-00002D000000}">
      <text>
        <r>
          <rPr>
            <b/>
            <sz val="9"/>
            <color indexed="81"/>
            <rFont val="Tahoma"/>
            <family val="2"/>
          </rPr>
          <t>newmand:</t>
        </r>
        <r>
          <rPr>
            <sz val="9"/>
            <color indexed="81"/>
            <rFont val="Tahoma"/>
            <family val="2"/>
          </rPr>
          <t xml:space="preserve">
no formula
Set at 0 as not used</t>
        </r>
      </text>
    </comment>
    <comment ref="C91" authorId="2" shapeId="0" xr:uid="{00000000-0006-0000-0000-00002E000000}">
      <text>
        <r>
          <rPr>
            <sz val="8"/>
            <color indexed="81"/>
            <rFont val="Tahoma"/>
            <family val="2"/>
          </rPr>
          <t>This cell automatically calculates 
the total of 3.1 - 3.10 (recurrent)
Formula should be:
=SUM(C80:C89)</t>
        </r>
      </text>
    </comment>
    <comment ref="D91" authorId="2" shapeId="0" xr:uid="{00000000-0006-0000-0000-00002F000000}">
      <text>
        <r>
          <rPr>
            <sz val="8"/>
            <color indexed="81"/>
            <rFont val="Tahoma"/>
            <family val="2"/>
          </rPr>
          <t>This cell automatically calculates 
the total of 3.1 - 3.10 (non- recurrent)
Formula should be:
=SUM(D80:D90)</t>
        </r>
      </text>
    </comment>
    <comment ref="C92" authorId="1" shapeId="0" xr:uid="{00000000-0006-0000-0000-000030000000}">
      <text>
        <r>
          <rPr>
            <sz val="8"/>
            <color indexed="81"/>
            <rFont val="Tahoma"/>
            <family val="2"/>
          </rPr>
          <t xml:space="preserve">This cell automatically calculates the overall income (i.e. totals recurrent and non-recurrent income)
</t>
        </r>
      </text>
    </comment>
    <comment ref="Y94" authorId="0" shapeId="0" xr:uid="{00000000-0006-0000-0000-000031000000}">
      <text>
        <r>
          <rPr>
            <sz val="9"/>
            <color indexed="81"/>
            <rFont val="Tahoma"/>
            <family val="2"/>
          </rPr>
          <t xml:space="preserve">
True if the comment in green below total isn't 
'Correct total' or blank</t>
        </r>
      </text>
    </comment>
    <comment ref="B114" authorId="1" shapeId="0" xr:uid="{00000000-0006-0000-0000-000032000000}">
      <text>
        <r>
          <rPr>
            <b/>
            <sz val="9"/>
            <color indexed="81"/>
            <rFont val="Tahoma"/>
            <family val="2"/>
          </rPr>
          <t xml:space="preserve">DEFINITIONS </t>
        </r>
        <r>
          <rPr>
            <sz val="9"/>
            <color indexed="81"/>
            <rFont val="Tahoma"/>
            <family val="2"/>
          </rPr>
          <t xml:space="preserve">(from </t>
        </r>
        <r>
          <rPr>
            <i/>
            <sz val="9"/>
            <color indexed="81"/>
            <rFont val="Tahoma"/>
            <family val="2"/>
          </rPr>
          <t xml:space="preserve">Knowledge for Healthcare </t>
        </r>
        <r>
          <rPr>
            <sz val="9"/>
            <color indexed="81"/>
            <rFont val="Tahoma"/>
            <family val="2"/>
          </rPr>
          <t>p. 56)</t>
        </r>
        <r>
          <rPr>
            <b/>
            <sz val="9"/>
            <color indexed="81"/>
            <rFont val="Tahoma"/>
            <family val="2"/>
          </rPr>
          <t xml:space="preserve">
Clinical/embedded librarian: </t>
        </r>
        <r>
          <rPr>
            <sz val="9"/>
            <color indexed="81"/>
            <rFont val="Tahoma"/>
            <family val="2"/>
          </rPr>
          <t xml:space="preserve">a role </t>
        </r>
        <r>
          <rPr>
            <b/>
            <sz val="9"/>
            <color indexed="81"/>
            <rFont val="Tahoma"/>
            <family val="2"/>
          </rPr>
          <t>embedded in a clinical team</t>
        </r>
        <r>
          <rPr>
            <sz val="9"/>
            <color indexed="81"/>
            <rFont val="Tahoma"/>
            <family val="2"/>
          </rPr>
          <t xml:space="preserve">, providing information as required by team members to support evidence-based practice and high quality patient care at the point of care or decision-making.
 </t>
        </r>
        <r>
          <rPr>
            <b/>
            <sz val="9"/>
            <color indexed="81"/>
            <rFont val="Tahoma"/>
            <family val="2"/>
          </rPr>
          <t xml:space="preserve">
Outreach librarian/service: </t>
        </r>
        <r>
          <rPr>
            <sz val="9"/>
            <color indexed="81"/>
            <rFont val="Tahoma"/>
            <family val="2"/>
          </rPr>
          <t xml:space="preserve">designed to support the work, learning and development needs of </t>
        </r>
        <r>
          <rPr>
            <b/>
            <sz val="9"/>
            <color indexed="81"/>
            <rFont val="Tahoma"/>
            <family val="2"/>
          </rPr>
          <t>staff in their workplace.</t>
        </r>
      </text>
    </comment>
    <comment ref="B132" authorId="1" shapeId="0" xr:uid="{00000000-0006-0000-0000-000033000000}">
      <text>
        <r>
          <rPr>
            <sz val="9"/>
            <color indexed="81"/>
            <rFont val="Tahoma"/>
            <family val="2"/>
          </rPr>
          <t xml:space="preserve">This can be in any format:
e.g. formal/informal presentation, rolling presentation/display, market stall, e-learning/e-induction, library tours
</t>
        </r>
      </text>
    </comment>
  </commentList>
</comments>
</file>

<file path=xl/sharedStrings.xml><?xml version="1.0" encoding="utf-8"?>
<sst xmlns="http://schemas.openxmlformats.org/spreadsheetml/2006/main" count="1146" uniqueCount="961">
  <si>
    <t>NHS LIBRARY SERVICES ANNUAL STATISTICAL RETURN</t>
  </si>
  <si>
    <t>LstProgress</t>
  </si>
  <si>
    <t>NotStarted</t>
  </si>
  <si>
    <t>Started</t>
  </si>
  <si>
    <t>Finished</t>
  </si>
  <si>
    <t>LineBreak</t>
  </si>
  <si>
    <t>Indent</t>
  </si>
  <si>
    <t>1 April 2021 - 31 March 2022</t>
  </si>
  <si>
    <t xml:space="preserve">       Click graphic to the right to see help/comment  form</t>
  </si>
  <si>
    <t>Named Cells</t>
  </si>
  <si>
    <t xml:space="preserve">                 </t>
  </si>
  <si>
    <t>Source data for comments</t>
  </si>
  <si>
    <t>Use?</t>
  </si>
  <si>
    <t>Final Text for aggregating</t>
  </si>
  <si>
    <t>Include ref?</t>
  </si>
  <si>
    <t>Address</t>
  </si>
  <si>
    <t>A. Local HEE office and details of LKS:</t>
  </si>
  <si>
    <t>Status</t>
  </si>
  <si>
    <t>Pending</t>
  </si>
  <si>
    <t>Health Education England local office - (choose from drop-down list)</t>
  </si>
  <si>
    <t>HEE local office area must be completed or the form will not save.</t>
  </si>
  <si>
    <r>
      <rPr>
        <b/>
        <sz val="10"/>
        <color rgb="FFFF0000"/>
        <rFont val="Calibri"/>
        <family val="2"/>
      </rPr>
      <t xml:space="preserve">REV. </t>
    </r>
    <r>
      <rPr>
        <b/>
        <sz val="10"/>
        <rFont val="Calibri"/>
        <family val="2"/>
      </rPr>
      <t>Lead Library service/Library service name and org. name</t>
    </r>
  </si>
  <si>
    <t>C5</t>
  </si>
  <si>
    <t>ref</t>
  </si>
  <si>
    <t>Sector of lead library service (choose from drop-down list)</t>
  </si>
  <si>
    <t>C6</t>
  </si>
  <si>
    <t>PROGRESS SUMMARY</t>
  </si>
  <si>
    <t>C7</t>
  </si>
  <si>
    <t>B. This form was completed by:</t>
  </si>
  <si>
    <t>Number of Sections</t>
  </si>
  <si>
    <t>1st Instance</t>
  </si>
  <si>
    <t>Name</t>
  </si>
  <si>
    <t>Not Started -</t>
  </si>
  <si>
    <t>B10</t>
  </si>
  <si>
    <t>Position</t>
  </si>
  <si>
    <t>In Progress -</t>
  </si>
  <si>
    <t>B11</t>
  </si>
  <si>
    <t>E-mail</t>
  </si>
  <si>
    <t>Completed -</t>
  </si>
  <si>
    <t>B12</t>
  </si>
  <si>
    <t>Tel. No.</t>
  </si>
  <si>
    <t>Date</t>
  </si>
  <si>
    <t>B13</t>
  </si>
  <si>
    <r>
      <rPr>
        <b/>
        <sz val="10"/>
        <color rgb="FFFF0000"/>
        <rFont val="Calibri"/>
        <family val="2"/>
      </rPr>
      <t>REV.</t>
    </r>
    <r>
      <rPr>
        <b/>
        <sz val="10"/>
        <rFont val="Calibri"/>
        <family val="2"/>
      </rPr>
      <t xml:space="preserve"> Period of return</t>
    </r>
  </si>
  <si>
    <t>B14</t>
  </si>
  <si>
    <t>B15</t>
  </si>
  <si>
    <t>C. Names of organisations served with type of service/organisation:</t>
  </si>
  <si>
    <t>Type of Service/Organisation 
(choose from dropdown list)</t>
  </si>
  <si>
    <t>Explanation of "Other"</t>
  </si>
  <si>
    <t>List managing organisation first and then other names + type of service/organisation must be completed.</t>
  </si>
  <si>
    <t>Others</t>
  </si>
  <si>
    <t>Lstcompletion</t>
  </si>
  <si>
    <t>From B19</t>
  </si>
  <si>
    <t>1.</t>
  </si>
  <si>
    <t>B19</t>
  </si>
  <si>
    <t>D19</t>
  </si>
  <si>
    <t>2.</t>
  </si>
  <si>
    <t>B20</t>
  </si>
  <si>
    <t>D20</t>
  </si>
  <si>
    <t>3.</t>
  </si>
  <si>
    <t>B21</t>
  </si>
  <si>
    <t>D21</t>
  </si>
  <si>
    <t>4.</t>
  </si>
  <si>
    <t>B22</t>
  </si>
  <si>
    <t>D22</t>
  </si>
  <si>
    <t>5.</t>
  </si>
  <si>
    <t>B23</t>
  </si>
  <si>
    <t>D23</t>
  </si>
  <si>
    <t>6.</t>
  </si>
  <si>
    <t>B24</t>
  </si>
  <si>
    <t>D24</t>
  </si>
  <si>
    <t>7.</t>
  </si>
  <si>
    <t>B25</t>
  </si>
  <si>
    <t>D25</t>
  </si>
  <si>
    <t>8.</t>
  </si>
  <si>
    <t>B26</t>
  </si>
  <si>
    <t>D26</t>
  </si>
  <si>
    <t>9.</t>
  </si>
  <si>
    <t>B27</t>
  </si>
  <si>
    <t>D27</t>
  </si>
  <si>
    <t>10.</t>
  </si>
  <si>
    <t>B28</t>
  </si>
  <si>
    <t>D28</t>
  </si>
  <si>
    <t>11.</t>
  </si>
  <si>
    <t>B29</t>
  </si>
  <si>
    <t>D29</t>
  </si>
  <si>
    <t>12.</t>
  </si>
  <si>
    <t>B30</t>
  </si>
  <si>
    <t>D30</t>
  </si>
  <si>
    <t>13.</t>
  </si>
  <si>
    <t>B31</t>
  </si>
  <si>
    <t>D31</t>
  </si>
  <si>
    <t>14.</t>
  </si>
  <si>
    <t>B32</t>
  </si>
  <si>
    <t>D32</t>
  </si>
  <si>
    <t>15.</t>
  </si>
  <si>
    <t>B33</t>
  </si>
  <si>
    <t>D33</t>
  </si>
  <si>
    <t>Please return this questionnaire no later than date provided by your HEE Library and Knowledge Services Lead.</t>
  </si>
  <si>
    <t>PLEASE NOTE: Data Validation has been added to this form. You need to supply the data in the correct format (as per Guidance sheet). If you don't you will be asked to change your entry.</t>
  </si>
  <si>
    <t>B38</t>
  </si>
  <si>
    <t>1</t>
  </si>
  <si>
    <t xml:space="preserve">USERS </t>
  </si>
  <si>
    <t>ESR Staff Groups</t>
  </si>
  <si>
    <t>No. of ESR  users</t>
  </si>
  <si>
    <t>COMMENT FROM LIBRARY MANAGER</t>
  </si>
  <si>
    <t>C39</t>
  </si>
  <si>
    <t>Additional Clinical Services</t>
  </si>
  <si>
    <t>C40</t>
  </si>
  <si>
    <t>Additional Prof., Scientific &amp; Technical</t>
  </si>
  <si>
    <t>C41</t>
  </si>
  <si>
    <t>Administrative &amp; Clerical</t>
  </si>
  <si>
    <t>C42</t>
  </si>
  <si>
    <t>Allied Health Professionals</t>
  </si>
  <si>
    <t>C43</t>
  </si>
  <si>
    <t>Estates &amp; Ancillary</t>
  </si>
  <si>
    <t>C44</t>
  </si>
  <si>
    <t>Healthcare Scientists</t>
  </si>
  <si>
    <t>C45</t>
  </si>
  <si>
    <t>Medical &amp; Dental</t>
  </si>
  <si>
    <t>C46</t>
  </si>
  <si>
    <t>Nursing &amp; Midwifery Registered</t>
  </si>
  <si>
    <t>C47</t>
  </si>
  <si>
    <t>Students</t>
  </si>
  <si>
    <t>C48</t>
  </si>
  <si>
    <t>Other (Non ESR )</t>
  </si>
  <si>
    <t>C49</t>
  </si>
  <si>
    <t>1.10a</t>
  </si>
  <si>
    <t>External members (not NHS staff)</t>
  </si>
  <si>
    <t>C50</t>
  </si>
  <si>
    <t>1.10b</t>
  </si>
  <si>
    <t>HEI staff (e.g. lecturers)</t>
  </si>
  <si>
    <t>C51</t>
  </si>
  <si>
    <t xml:space="preserve">1.10c </t>
  </si>
  <si>
    <t>Libraries</t>
  </si>
  <si>
    <t>C52</t>
  </si>
  <si>
    <t>1.10d</t>
  </si>
  <si>
    <t>Local authority (including Public Health staff: clinical and non-clinical)</t>
  </si>
  <si>
    <t>C53</t>
  </si>
  <si>
    <t>1.10e</t>
  </si>
  <si>
    <t>Patients/service users/clients, carers and the public</t>
  </si>
  <si>
    <t>C54</t>
  </si>
  <si>
    <t xml:space="preserve">1.10f </t>
  </si>
  <si>
    <t>Volunteers (including Trust governors)</t>
  </si>
  <si>
    <t>C55</t>
  </si>
  <si>
    <t>1.10g</t>
  </si>
  <si>
    <t>Other (not included in 1.1 to 1.9 or 1.10a - 1.10g</t>
  </si>
  <si>
    <t>C56</t>
  </si>
  <si>
    <t>TOTAL USERS       (Only enter a total if you have not filled in anything above)</t>
  </si>
  <si>
    <t>D57</t>
  </si>
  <si>
    <t>For Manual Entry</t>
  </si>
  <si>
    <t>Calculated Total</t>
  </si>
  <si>
    <t>Recurrent</t>
  </si>
  <si>
    <t>Non Recurrent</t>
  </si>
  <si>
    <t>D58</t>
  </si>
  <si>
    <t xml:space="preserve">2 </t>
  </si>
  <si>
    <t>EXPENDITURE (£) - Actual expenditure not budget</t>
  </si>
  <si>
    <t>All blank?</t>
  </si>
  <si>
    <t>Description</t>
  </si>
  <si>
    <t>D59</t>
  </si>
  <si>
    <t>Refer to appropriate budget statements if necessary.
Please note all cells in this section must be completed or the form will not save.
If a heading does not apply or there is no expenditure to record, please enter 0 in the relevant cell.</t>
  </si>
  <si>
    <t>a. Recurrent amount 
(+ve values only)</t>
  </si>
  <si>
    <t>b. Non-recurrent or project amount
(+ve values only)</t>
  </si>
  <si>
    <t>Please enter '0' if none</t>
  </si>
  <si>
    <t>Staff (gross costs)</t>
  </si>
  <si>
    <t>C61</t>
  </si>
  <si>
    <t>D61</t>
  </si>
  <si>
    <t>F61</t>
  </si>
  <si>
    <t>Books and other non-journal print materials</t>
  </si>
  <si>
    <t>C62</t>
  </si>
  <si>
    <t>D62</t>
  </si>
  <si>
    <t>F62</t>
  </si>
  <si>
    <t xml:space="preserve">2.3a </t>
  </si>
  <si>
    <t>Print Journals</t>
  </si>
  <si>
    <t>C63</t>
  </si>
  <si>
    <t>D63</t>
  </si>
  <si>
    <t>F63</t>
  </si>
  <si>
    <t xml:space="preserve">2.3b </t>
  </si>
  <si>
    <t>Print and e-journals (bundle)</t>
  </si>
  <si>
    <t>C64</t>
  </si>
  <si>
    <t>D64</t>
  </si>
  <si>
    <t>F64</t>
  </si>
  <si>
    <t>Electronic databases</t>
  </si>
  <si>
    <t>C65</t>
  </si>
  <si>
    <t>D65</t>
  </si>
  <si>
    <t>F65</t>
  </si>
  <si>
    <t>Electronic journals only</t>
  </si>
  <si>
    <t>C66</t>
  </si>
  <si>
    <t>D66</t>
  </si>
  <si>
    <t>F66</t>
  </si>
  <si>
    <t>Electronic books</t>
  </si>
  <si>
    <t>C67</t>
  </si>
  <si>
    <t>D67</t>
  </si>
  <si>
    <t>F67</t>
  </si>
  <si>
    <t>Audio-visual and e-learning materials</t>
  </si>
  <si>
    <t>C68</t>
  </si>
  <si>
    <t>D68</t>
  </si>
  <si>
    <t>F68</t>
  </si>
  <si>
    <t>Inter-library lending and document supply</t>
  </si>
  <si>
    <t>C69</t>
  </si>
  <si>
    <t>D69</t>
  </si>
  <si>
    <t>F69</t>
  </si>
  <si>
    <t>Library staff training/development</t>
  </si>
  <si>
    <t>C70</t>
  </si>
  <si>
    <t>D70</t>
  </si>
  <si>
    <t>F70</t>
  </si>
  <si>
    <t>Library management system (maintenance  = recurrent, purchase = non-rec.)</t>
  </si>
  <si>
    <t>C71</t>
  </si>
  <si>
    <t>D71</t>
  </si>
  <si>
    <t>F71</t>
  </si>
  <si>
    <t xml:space="preserve">Total (sum of 2.1 to 2.10) </t>
  </si>
  <si>
    <t>D73's  Message is Offset here</t>
  </si>
  <si>
    <t>D73</t>
  </si>
  <si>
    <t>Other (please also provide top 3 items (with expenditure) in comments)</t>
  </si>
  <si>
    <t>List Top 3 'other'  &gt;</t>
  </si>
  <si>
    <t>C73</t>
  </si>
  <si>
    <t>F73</t>
  </si>
  <si>
    <t>Capital charges, maintenance, other on-costs</t>
  </si>
  <si>
    <t>C74</t>
  </si>
  <si>
    <t>D74</t>
  </si>
  <si>
    <t>TOTAL EXPENDITURE</t>
  </si>
  <si>
    <t>D75</t>
  </si>
  <si>
    <t>OVERALL EXPENDITURE (i.e. Recurrent + Non-Recurrent)</t>
  </si>
  <si>
    <t>E62</t>
  </si>
  <si>
    <t>3</t>
  </si>
  <si>
    <r>
      <rPr>
        <b/>
        <sz val="10"/>
        <color rgb="FF0000FF"/>
        <rFont val="Calibri"/>
        <family val="2"/>
      </rPr>
      <t xml:space="preserve">INCOME [£] - </t>
    </r>
    <r>
      <rPr>
        <b/>
        <sz val="10"/>
        <color rgb="FF008000"/>
        <rFont val="Calibri"/>
        <family val="2"/>
      </rPr>
      <t>To be entered as positive numbers only</t>
    </r>
  </si>
  <si>
    <t>E59</t>
  </si>
  <si>
    <t>N.B.  If you cannot identify the separate funding streams please supply the TOTAL Income in 3.12</t>
  </si>
  <si>
    <t>a. Recurrent</t>
  </si>
  <si>
    <t xml:space="preserve">b. Non-recurrent or project </t>
  </si>
  <si>
    <t>Education tariff funding (was MPET)</t>
  </si>
  <si>
    <t>C80</t>
  </si>
  <si>
    <t>D80</t>
  </si>
  <si>
    <t>F80</t>
  </si>
  <si>
    <t xml:space="preserve">Other HEE funding </t>
  </si>
  <si>
    <t>C81</t>
  </si>
  <si>
    <t>D81</t>
  </si>
  <si>
    <t>F81</t>
  </si>
  <si>
    <t>Own NHS organisation</t>
  </si>
  <si>
    <t>C82</t>
  </si>
  <si>
    <t>D82</t>
  </si>
  <si>
    <t>F82</t>
  </si>
  <si>
    <t>Service Level Agreements (SLAs) with other NHS organisations</t>
  </si>
  <si>
    <t>C83</t>
  </si>
  <si>
    <t>D83</t>
  </si>
  <si>
    <t>F83</t>
  </si>
  <si>
    <t>Higher Education institution (medical)</t>
  </si>
  <si>
    <t>C84</t>
  </si>
  <si>
    <t>D84</t>
  </si>
  <si>
    <t>F84</t>
  </si>
  <si>
    <t>Higher Education institution (non-medical)</t>
  </si>
  <si>
    <t>C85</t>
  </si>
  <si>
    <t>D85</t>
  </si>
  <si>
    <t>F85</t>
  </si>
  <si>
    <t>SLAs with other HE/FE organisations</t>
  </si>
  <si>
    <t>C86</t>
  </si>
  <si>
    <t>D86</t>
  </si>
  <si>
    <t>F86</t>
  </si>
  <si>
    <t>Charitable Trust</t>
  </si>
  <si>
    <t>C87</t>
  </si>
  <si>
    <t>D87</t>
  </si>
  <si>
    <t>F87</t>
  </si>
  <si>
    <t>Local authority funding</t>
  </si>
  <si>
    <t>C88</t>
  </si>
  <si>
    <t>D88</t>
  </si>
  <si>
    <t>F88</t>
  </si>
  <si>
    <t>Other (please give details in "Comment from Library Manager")</t>
  </si>
  <si>
    <t>C89</t>
  </si>
  <si>
    <t>D89</t>
  </si>
  <si>
    <t>F89</t>
  </si>
  <si>
    <t xml:space="preserve">Income generation </t>
  </si>
  <si>
    <t>C90</t>
  </si>
  <si>
    <t>D90</t>
  </si>
  <si>
    <t>F90</t>
  </si>
  <si>
    <t>TOTAL INCOME</t>
  </si>
  <si>
    <t>E91</t>
  </si>
  <si>
    <t>OVERALL INCOME (i.e. Recurrent + Non-recurrent)</t>
  </si>
  <si>
    <t>Enter 1 = YES,  
0 = NO</t>
  </si>
  <si>
    <t>C94</t>
  </si>
  <si>
    <t>Section Status</t>
  </si>
  <si>
    <t>4</t>
  </si>
  <si>
    <t>LOANS FROM STOCK</t>
  </si>
  <si>
    <t>Numbers</t>
  </si>
  <si>
    <t>Enter Number, NA  or NK</t>
  </si>
  <si>
    <t>Loans to other libraries</t>
  </si>
  <si>
    <t>C97</t>
  </si>
  <si>
    <t xml:space="preserve">5 </t>
  </si>
  <si>
    <t>COPIES OF ARTICLES, E-BOOK CHAPTER DOWNLOADS etc. SUPPLIED  FROM STOCK (Includes copies sourced from open access/purchased/donated/subscriptions and national core content resources)</t>
  </si>
  <si>
    <t xml:space="preserve"> Nos. of Photocopies/ Scans/ Downloads/ Printouts</t>
  </si>
  <si>
    <t>C99</t>
  </si>
  <si>
    <t>Copies etc. made by LKS staff for own readers/users</t>
  </si>
  <si>
    <t>C100</t>
  </si>
  <si>
    <t>Copies etc. made by LKS staff for other libraries</t>
  </si>
  <si>
    <t>C101</t>
  </si>
  <si>
    <t>C102</t>
  </si>
  <si>
    <t>6</t>
  </si>
  <si>
    <t>LOANS RECEIVED FROM OTHER LIBRARIES (PHYSICAL ITEMS)</t>
  </si>
  <si>
    <t>C103</t>
  </si>
  <si>
    <t>Loans (ILLs) received from other libraries</t>
  </si>
  <si>
    <t>C104</t>
  </si>
  <si>
    <t>C105</t>
  </si>
  <si>
    <t>7</t>
  </si>
  <si>
    <r>
      <t xml:space="preserve">COPIES OF ARTICLES, </t>
    </r>
    <r>
      <rPr>
        <b/>
        <sz val="10"/>
        <color indexed="12"/>
        <rFont val="Calibri"/>
        <family val="2"/>
      </rPr>
      <t>DOWNLOADS etc.  SUPPLIED BY OTHER LIBRARIES</t>
    </r>
  </si>
  <si>
    <t>Nos. of Photocopies/ Scans/ Downloads/ Printouts</t>
  </si>
  <si>
    <t>C106</t>
  </si>
  <si>
    <t>Numbers to control what goes on the vertical label text below.  = MID (Form label in column B, Start at first row character, Then display secondrow number of characters)</t>
  </si>
  <si>
    <t>Copies etc. received from other libraries</t>
  </si>
  <si>
    <t>C107</t>
  </si>
  <si>
    <t>C108</t>
  </si>
  <si>
    <t>8</t>
  </si>
  <si>
    <t>KNOWLEDGE MOBILISATION AND INFORMATION CONSULTANCY SERVICES OFFERED</t>
  </si>
  <si>
    <t>C109</t>
  </si>
  <si>
    <t>Start of topic label</t>
  </si>
  <si>
    <t>If regular information searches and enquiries statistics are unavailable, it is recommended that this information be obtained by undertaking a sample study for one week, and multiplying the resulting figure by 52 or two weeks and multiplying by 26.</t>
  </si>
  <si>
    <t>C110</t>
  </si>
  <si>
    <t>Numbers of chars</t>
  </si>
  <si>
    <r>
      <t xml:space="preserve">Information Consultancy Services offered </t>
    </r>
    <r>
      <rPr>
        <b/>
        <sz val="10"/>
        <color rgb="FF339966"/>
        <rFont val="Calibri"/>
        <family val="2"/>
      </rPr>
      <t>(click on number hyperlink for guidance)</t>
    </r>
  </si>
  <si>
    <t>Enter 1 = YES, 
0 = No</t>
  </si>
  <si>
    <t>PURPOSE(S) OF MEDIATED SEARCH
(Enter number e.g. of total of 100 (cell C118), 56= clinical, 25 = KM/mgt.,  17=Patient,
 21 = Research, 3=Other)</t>
  </si>
  <si>
    <t>C111</t>
  </si>
  <si>
    <t>TblAnnualStatsComments</t>
  </si>
  <si>
    <t>you can tweak any of the yellow cells</t>
  </si>
  <si>
    <t>Do you offer a mediated searching service?</t>
  </si>
  <si>
    <t>C112</t>
  </si>
  <si>
    <t>Do you offer an evidence synthesis and summarising service after searches?</t>
  </si>
  <si>
    <t>C113</t>
  </si>
  <si>
    <t>Add Address of data cell</t>
  </si>
  <si>
    <t>C117</t>
  </si>
  <si>
    <t>C118</t>
  </si>
  <si>
    <t>C119</t>
  </si>
  <si>
    <t>C124</t>
  </si>
  <si>
    <t>C125</t>
  </si>
  <si>
    <t>C137</t>
  </si>
  <si>
    <t>c104</t>
  </si>
  <si>
    <t>c100</t>
  </si>
  <si>
    <t>c101</t>
  </si>
  <si>
    <t>Do you offer an embedded/clinical/outreach librarian service?</t>
  </si>
  <si>
    <t>Do you offer Knowledge Mobilisation facilitated activities?</t>
  </si>
  <si>
    <t>Clinical decision making 
(inc. patient care)</t>
  </si>
  <si>
    <t>KM/ Management decision making</t>
  </si>
  <si>
    <t>Patient info.: health &amp; well being</t>
  </si>
  <si>
    <t>Research/ Education / Prof.  Devt.</t>
  </si>
  <si>
    <t>Other 
(describe in Comment)</t>
  </si>
  <si>
    <t>C114</t>
  </si>
  <si>
    <t xml:space="preserve"> </t>
  </si>
  <si>
    <r>
      <t xml:space="preserve">Information Consultancy Service take-up </t>
    </r>
    <r>
      <rPr>
        <b/>
        <sz val="10"/>
        <color rgb="FF339966"/>
        <rFont val="Calibri"/>
        <family val="2"/>
      </rPr>
      <t>(click on number hyperlink for guidance)</t>
    </r>
  </si>
  <si>
    <t>Total no. carried out</t>
  </si>
  <si>
    <t>Mediated Search Details</t>
  </si>
  <si>
    <t>C116</t>
  </si>
  <si>
    <t>8.5a</t>
  </si>
  <si>
    <t xml:space="preserve">Total number of mediated literature searches </t>
  </si>
  <si>
    <t>Edited Labels for Message</t>
  </si>
  <si>
    <t>8.5b</t>
  </si>
  <si>
    <t>Of the mediaiated literature searches how many were summarised and or sythesised</t>
  </si>
  <si>
    <t>8.6a</t>
  </si>
  <si>
    <t>Total number of information resource related enquiries</t>
  </si>
  <si>
    <t>8.6b</t>
  </si>
  <si>
    <t>Of the information resource related enquires how many related to patient information</t>
  </si>
  <si>
    <t>TO NOTE: Multiple purposes are permitted so E118 to I118 may exceed total in C117.</t>
  </si>
  <si>
    <t>D117</t>
  </si>
  <si>
    <t>Number of procedural/directional enquiries</t>
  </si>
  <si>
    <t>Score Range</t>
  </si>
  <si>
    <t>Message Trailer: Specific to recorded number only</t>
  </si>
  <si>
    <t>9</t>
  </si>
  <si>
    <t>USER EDUCATION &amp; INDUCTION</t>
  </si>
  <si>
    <t>R117</t>
  </si>
  <si>
    <t>=</t>
  </si>
  <si>
    <t>na</t>
  </si>
  <si>
    <t>( Data Not Available)</t>
  </si>
  <si>
    <t>If regular education and induction statistics are unavailable, it is recommended that this information be obtained by undertaking a sample study
for one month, and multiplying the resulting figure by 12.</t>
  </si>
  <si>
    <t xml:space="preserve">PURPOSE(S) OF USER EDUCATION SESSION
(Enter number e.g. of total of 52 (cell C128) , 40= clinical, 25 = KM/mgt., 21 = Research) </t>
  </si>
  <si>
    <t>R118</t>
  </si>
  <si>
    <t>nk</t>
  </si>
  <si>
    <t xml:space="preserve">    ( Data Not Known )</t>
  </si>
  <si>
    <t xml:space="preserve">Education/Training </t>
  </si>
  <si>
    <t>Total no. carried out/ People deliverd to</t>
  </si>
  <si>
    <t xml:space="preserve">Clinical </t>
  </si>
  <si>
    <t>KM/ 
Management</t>
  </si>
  <si>
    <t>Research/ Education / 
Prof. Devt.</t>
  </si>
  <si>
    <t>Other</t>
  </si>
  <si>
    <t>User Education Details</t>
  </si>
  <si>
    <t>C123</t>
  </si>
  <si>
    <t xml:space="preserve"> Nothing to record?  Please add  '0'  or NA  or  NK  to confirm</t>
  </si>
  <si>
    <t>Number of user education sessions delivered per year</t>
  </si>
  <si>
    <t>c124</t>
  </si>
  <si>
    <t>&lt;</t>
  </si>
  <si>
    <t xml:space="preserve">Number of people receiving user education per year </t>
  </si>
  <si>
    <t>TO NOTE: Multiple purposes are permitted so E128 to I128 may exceed total in C124.</t>
  </si>
  <si>
    <t>Divides by 26</t>
  </si>
  <si>
    <t>D124</t>
  </si>
  <si>
    <t>27-51</t>
  </si>
  <si>
    <t xml:space="preserve"> looks like an annual total?</t>
  </si>
  <si>
    <t xml:space="preserve">Induction </t>
  </si>
  <si>
    <t>divides by 52</t>
  </si>
  <si>
    <t xml:space="preserve"> every week ?</t>
  </si>
  <si>
    <t>Does the LKS take part in the following categories of inductions?</t>
  </si>
  <si>
    <t>C127</t>
  </si>
  <si>
    <t xml:space="preserve"> looks like your annual total</t>
  </si>
  <si>
    <t>9.3a</t>
  </si>
  <si>
    <t>Corporate/organisational?</t>
  </si>
  <si>
    <t>C129</t>
  </si>
  <si>
    <t>Message leader</t>
  </si>
  <si>
    <t>9.3b</t>
  </si>
  <si>
    <t>Junior doctors?</t>
  </si>
  <si>
    <t>C130</t>
  </si>
  <si>
    <t>final Message</t>
  </si>
  <si>
    <t>9.3c</t>
  </si>
  <si>
    <t>Nursing/midwifery students?</t>
  </si>
  <si>
    <t>C131</t>
  </si>
  <si>
    <t>9.3d</t>
  </si>
  <si>
    <t>Undergraduate medical students?</t>
  </si>
  <si>
    <t>C132</t>
  </si>
  <si>
    <t>9.3e</t>
  </si>
  <si>
    <t>1:1 for new users (e.g. ad hoc inductions in the library)?</t>
  </si>
  <si>
    <t>C133</t>
  </si>
  <si>
    <t>9.3f</t>
  </si>
  <si>
    <t>Other (i.e. all staff groups not listed above - please specify in comment)?</t>
  </si>
  <si>
    <t>C134</t>
  </si>
  <si>
    <t xml:space="preserve">Total number </t>
  </si>
  <si>
    <t>Number of user induction sessions delivered per year</t>
  </si>
  <si>
    <t>Organisations receiving induction:</t>
  </si>
  <si>
    <t>C138</t>
  </si>
  <si>
    <t>Health Literacy and Patient Information</t>
  </si>
  <si>
    <t>Information resource enquiries related to patient information</t>
  </si>
  <si>
    <t>9.6a</t>
  </si>
  <si>
    <t>Do you deliver health literacy training?</t>
  </si>
  <si>
    <t>Enter 1 = YES,  0 = NO</t>
  </si>
  <si>
    <t>9.6b</t>
  </si>
  <si>
    <t>Number of health literacy training sessions</t>
  </si>
  <si>
    <t>9.6c</t>
  </si>
  <si>
    <t>Number of people receiving health literacy training</t>
  </si>
  <si>
    <t>10</t>
  </si>
  <si>
    <t xml:space="preserve">CURRENT AWARENESS/HORIZON SCANNING/ALERTING SERVICES          </t>
  </si>
  <si>
    <t>Current Awareness etc</t>
  </si>
  <si>
    <t>Create</t>
  </si>
  <si>
    <t>Modify or Contribute to</t>
  </si>
  <si>
    <t>Circulate "unchanged" from another Producer any</t>
  </si>
  <si>
    <t>Trigger</t>
  </si>
  <si>
    <t>Message</t>
  </si>
  <si>
    <t>final</t>
  </si>
  <si>
    <t>C142</t>
  </si>
  <si>
    <t>Do you provide any of the following alerting services for your users?</t>
  </si>
  <si>
    <t>Enter 1 = YES, 0 = No</t>
  </si>
  <si>
    <t>Comment(s)  Present</t>
  </si>
  <si>
    <t>Circulate' Comment</t>
  </si>
  <si>
    <t xml:space="preserve">            Combined</t>
  </si>
  <si>
    <t>C143</t>
  </si>
  <si>
    <t>10.1a</t>
  </si>
  <si>
    <t>New acquisitions bulletins</t>
  </si>
  <si>
    <t>C144</t>
  </si>
  <si>
    <t>10.1b</t>
  </si>
  <si>
    <t>Subject/topic bulletins</t>
  </si>
  <si>
    <t>C145</t>
  </si>
  <si>
    <t>10.1c</t>
  </si>
  <si>
    <t>Health news bulletins</t>
  </si>
  <si>
    <t>C146</t>
  </si>
  <si>
    <t>10.1d</t>
  </si>
  <si>
    <t>E-toc alerts</t>
  </si>
  <si>
    <t>C147</t>
  </si>
  <si>
    <t xml:space="preserve">10.1e </t>
  </si>
  <si>
    <t>Horizon scanning</t>
  </si>
  <si>
    <t>C148</t>
  </si>
  <si>
    <t>10.1f</t>
  </si>
  <si>
    <t>Other (add comment to explain)</t>
  </si>
  <si>
    <t>C149</t>
  </si>
  <si>
    <t>C150</t>
  </si>
  <si>
    <t>11</t>
  </si>
  <si>
    <t>COLLABORATIVE PURCHASING</t>
  </si>
  <si>
    <t>C151</t>
  </si>
  <si>
    <t>Enter 1 = YES,
 0 = No</t>
  </si>
  <si>
    <t>C152</t>
  </si>
  <si>
    <t xml:space="preserve">Do you take part in any print/non-print collaborative purchasing schemes? </t>
  </si>
  <si>
    <t>C153</t>
  </si>
  <si>
    <t>Please indicate below the type of schemes you take part in:</t>
  </si>
  <si>
    <t>C154</t>
  </si>
  <si>
    <t xml:space="preserve">11.2a </t>
  </si>
  <si>
    <t>Books (print and/or electronic) only collaborative purchasing</t>
  </si>
  <si>
    <t>C155</t>
  </si>
  <si>
    <t>11.2b</t>
  </si>
  <si>
    <t>Journals (print and/or electronic) only collaborative purchasing</t>
  </si>
  <si>
    <t>C156</t>
  </si>
  <si>
    <t xml:space="preserve">11.2c </t>
  </si>
  <si>
    <t>Joint books/journals package (print / electronic) collaborative purchasing</t>
  </si>
  <si>
    <t>C157</t>
  </si>
  <si>
    <t>11.2d</t>
  </si>
  <si>
    <t>Database (inc. ClinicalKey) collaborative purchasing</t>
  </si>
  <si>
    <t>C158</t>
  </si>
  <si>
    <t>11.2e</t>
  </si>
  <si>
    <t>Point of care  (e.g. Up-to-Date, Dynamed) collaborative purchasing</t>
  </si>
  <si>
    <t>C159</t>
  </si>
  <si>
    <t>SECTION</t>
  </si>
  <si>
    <t>REFERENCE</t>
  </si>
  <si>
    <t>DATA QUALITY MEASURES</t>
  </si>
  <si>
    <r>
      <t xml:space="preserve">Due to the </t>
    </r>
    <r>
      <rPr>
        <b/>
        <sz val="9"/>
        <rFont val="Calibri"/>
        <family val="2"/>
      </rPr>
      <t xml:space="preserve">poor quality </t>
    </r>
    <r>
      <rPr>
        <sz val="9"/>
        <rFont val="Calibri"/>
        <family val="2"/>
      </rPr>
      <t xml:space="preserve">of the data submitted by LKS in previous years, HEE LKSL has introduced </t>
    </r>
    <r>
      <rPr>
        <b/>
        <sz val="9"/>
        <rFont val="Calibri"/>
        <family val="2"/>
      </rPr>
      <t xml:space="preserve">data validation </t>
    </r>
    <r>
      <rPr>
        <sz val="9"/>
        <rFont val="Calibri"/>
        <family val="2"/>
      </rPr>
      <t xml:space="preserve">on this form. </t>
    </r>
  </si>
  <si>
    <t>This means that what you can enter is now controlled by inbuilt checks; so data can only be entered in the correct format as specified in the relevant section in this Guidance.</t>
  </si>
  <si>
    <r>
      <t xml:space="preserve">
</t>
    </r>
    <r>
      <rPr>
        <b/>
        <sz val="9"/>
        <color indexed="10"/>
        <rFont val="Calibri"/>
        <family val="2"/>
      </rPr>
      <t>N.B. If you do not send your HEE LKS Lead a final version of the return it will be sent back to you as incomplete.</t>
    </r>
  </si>
  <si>
    <t>GUIDANCE ON COMPLETING THIS FORM</t>
  </si>
  <si>
    <r>
      <t xml:space="preserve">A summary of the guidance is provided below, but guidance is also embedded in the form at appropriate places. As you click in cells you will see a pop-up box which contains the relevant guidance. </t>
    </r>
    <r>
      <rPr>
        <b/>
        <sz val="10"/>
        <rFont val="Helv"/>
      </rPr>
      <t/>
    </r>
  </si>
  <si>
    <r>
      <t xml:space="preserve">COMMENTS </t>
    </r>
    <r>
      <rPr>
        <sz val="9"/>
        <rFont val="Calibri"/>
        <family val="2"/>
      </rPr>
      <t>boxes are provided on the right-hand side of the sheet where you can enter notes of explanation if necessary.</t>
    </r>
  </si>
  <si>
    <t>General</t>
  </si>
  <si>
    <r>
      <t xml:space="preserve">Please note the following conventions for </t>
    </r>
    <r>
      <rPr>
        <b/>
        <sz val="9"/>
        <color indexed="10"/>
        <rFont val="Calibri"/>
        <family val="2"/>
      </rPr>
      <t>SECTION 4 to SECTION 11</t>
    </r>
  </si>
  <si>
    <t>NA</t>
  </si>
  <si>
    <t>Not Applicable, i.e. this activity is NOT performed by this library.</t>
  </si>
  <si>
    <t>NK</t>
  </si>
  <si>
    <t>Not Known, i.e. this activity DOES occur, but is not counted or analysed in this way.</t>
  </si>
  <si>
    <t>Zero, i.e. this activity DOES occur, but the count is zero for the year in question.</t>
  </si>
  <si>
    <t>WHO SHOULD SUBMIT A RETURN? : DEFINING A SERVICE</t>
  </si>
  <si>
    <t>Service_Definition</t>
  </si>
  <si>
    <r>
      <t xml:space="preserve">A statistical return should be submitted for </t>
    </r>
    <r>
      <rPr>
        <b/>
        <sz val="9"/>
        <rFont val="Calibri"/>
        <family val="2"/>
      </rPr>
      <t>every NHS-funded Library and Knowledge Service (LKS).</t>
    </r>
  </si>
  <si>
    <t>DEFINITION</t>
  </si>
  <si>
    <r>
      <t xml:space="preserve">An </t>
    </r>
    <r>
      <rPr>
        <b/>
        <sz val="9"/>
        <rFont val="Calibri"/>
        <family val="2"/>
      </rPr>
      <t>NHS-funded Library and Knowledge Service (LKS)</t>
    </r>
    <r>
      <rPr>
        <sz val="9"/>
        <rFont val="Calibri"/>
        <family val="2"/>
      </rPr>
      <t xml:space="preserve"> is defined as a service managed by a professional librarian, hosted by and/or provided to an NHS provider organisation, and in receipt of NHS funding.  
An LKS may include branch or site libraries with managers who are accountable to the overall service manager.
HEE requires a single statistical return from every LKS, as defined above. 
Returns from </t>
    </r>
    <r>
      <rPr>
        <b/>
        <sz val="9"/>
        <rFont val="Calibri"/>
        <family val="2"/>
      </rPr>
      <t xml:space="preserve">individual branch or site libraries </t>
    </r>
    <r>
      <rPr>
        <sz val="9"/>
        <rFont val="Calibri"/>
        <family val="2"/>
      </rPr>
      <t xml:space="preserve">should be combined before submission. </t>
    </r>
  </si>
  <si>
    <t>PRELIMINARY SECTION (A. to C.)</t>
  </si>
  <si>
    <t>A. Name of Health Education England local office</t>
  </si>
  <si>
    <t xml:space="preserve">The names of the HEE local offices are provided in a drop-down list. Click in the cell and then click on the downward facing arrow to see the list.      
</t>
  </si>
  <si>
    <t>Sector of library service</t>
  </si>
  <si>
    <t>The names of 4 "sectors" are provided as a drop-down list. Click in the "sector of library service" cell in the relevant row to assign a sector to each library.</t>
  </si>
  <si>
    <t xml:space="preserve"> If in doubt check with your HEE Library and Knowledge Services Lead.</t>
  </si>
  <si>
    <r>
      <t>"Sectors"</t>
    </r>
    <r>
      <rPr>
        <sz val="9"/>
        <rFont val="Calibri"/>
        <family val="2"/>
      </rPr>
      <t xml:space="preserve"> relate to where the majority of the funding comes from and is also likely to relate to who employs the staff. 
</t>
    </r>
    <r>
      <rPr>
        <b/>
        <sz val="9"/>
        <rFont val="Calibri"/>
        <family val="2"/>
      </rPr>
      <t>"HE provided"</t>
    </r>
    <r>
      <rPr>
        <sz val="9"/>
        <rFont val="Calibri"/>
        <family val="2"/>
      </rPr>
      <t xml:space="preserve"> is likely to be via a Service Level Agreement with the NHS organisation.</t>
    </r>
  </si>
  <si>
    <r>
      <rPr>
        <b/>
        <sz val="9"/>
        <color rgb="FFFF0000"/>
        <rFont val="Calibri"/>
        <family val="2"/>
      </rPr>
      <t>REV</t>
    </r>
    <r>
      <rPr>
        <b/>
        <sz val="9"/>
        <rFont val="Calibri"/>
        <family val="2"/>
      </rPr>
      <t xml:space="preserve"> B. Period of Return</t>
    </r>
  </si>
  <si>
    <t xml:space="preserve">There is now only 1 option provided  in a drop-down list. 
Click in the cell and then click on the downward facing arrow to see the list.      </t>
  </si>
  <si>
    <r>
      <rPr>
        <b/>
        <sz val="9"/>
        <color rgb="FFFF0000"/>
        <rFont val="Calibri"/>
        <family val="2"/>
      </rPr>
      <t>REV</t>
    </r>
    <r>
      <rPr>
        <b/>
        <sz val="9"/>
        <rFont val="Calibri"/>
        <family val="2"/>
      </rPr>
      <t xml:space="preserve"> C. Names of Organisations served with type of service/organisation</t>
    </r>
    <r>
      <rPr>
        <b/>
        <sz val="9"/>
        <color theme="9" tint="-0.249977111117893"/>
        <rFont val="Calibri"/>
        <family val="2"/>
      </rPr>
      <t xml:space="preserve"> </t>
    </r>
  </si>
  <si>
    <r>
      <t xml:space="preserve">Enter your managing organisation first.
Please list all the other organisations with which you have a service level agreement (SLA) or other "formal documented agreement" for the provision of library services. 
</t>
    </r>
    <r>
      <rPr>
        <b/>
        <sz val="9"/>
        <color rgb="FFFF0000"/>
        <rFont val="Calibri"/>
        <family val="2"/>
      </rPr>
      <t>EXCLUDE</t>
    </r>
    <r>
      <rPr>
        <sz val="9"/>
        <rFont val="Calibri"/>
        <family val="2"/>
      </rPr>
      <t xml:space="preserve"> the organisations of individuals who have negotiated personal access to your LKS with or without a fee.</t>
    </r>
  </si>
  <si>
    <t>Type of Service/Organisation</t>
  </si>
  <si>
    <r>
      <t>The names of 20 "Service/Organisation" types are provided as a drop-down list. 
Click in the "type of service/organisation" cell in the relevant row to assign a type to each organisation listed.</t>
    </r>
    <r>
      <rPr>
        <b/>
        <sz val="9"/>
        <rFont val="Calibri"/>
        <family val="2"/>
      </rPr>
      <t/>
    </r>
  </si>
  <si>
    <t xml:space="preserve">Other: </t>
  </si>
  <si>
    <r>
      <rPr>
        <b/>
        <sz val="9"/>
        <rFont val="Calibri"/>
        <family val="2"/>
      </rPr>
      <t>INCLUDE</t>
    </r>
    <r>
      <rPr>
        <sz val="9"/>
        <rFont val="Calibri"/>
        <family val="2"/>
      </rPr>
      <t xml:space="preserve"> Academic Health Science Networks (AHSNs). 
</t>
    </r>
    <r>
      <rPr>
        <b/>
        <sz val="9"/>
        <rFont val="Calibri"/>
        <family val="2"/>
      </rPr>
      <t xml:space="preserve">EXCLUDE: </t>
    </r>
    <r>
      <rPr>
        <sz val="9"/>
        <rFont val="Calibri"/>
        <family val="2"/>
      </rPr>
      <t>Clinical Senates and Sustainability and Transformation Plans (STPs) as these are not organisations per se but a network of organisations.</t>
    </r>
  </si>
  <si>
    <t>If in doubt check with your HEE LKS Lead.</t>
  </si>
  <si>
    <r>
      <t xml:space="preserve">If </t>
    </r>
    <r>
      <rPr>
        <b/>
        <sz val="9"/>
        <rFont val="Calibri"/>
        <family val="2"/>
      </rPr>
      <t>"Other"</t>
    </r>
    <r>
      <rPr>
        <sz val="9"/>
        <rFont val="Calibri"/>
        <family val="2"/>
      </rPr>
      <t xml:space="preserve"> is chosen please specify, in the appropriate cell, in the explanation table to the right.</t>
    </r>
  </si>
  <si>
    <r>
      <t>Section 1:  USERS</t>
    </r>
    <r>
      <rPr>
        <b/>
        <sz val="9"/>
        <color theme="9" tint="-0.249977111117893"/>
        <rFont val="Calibri"/>
        <family val="2"/>
      </rPr>
      <t xml:space="preserve"> </t>
    </r>
  </si>
  <si>
    <t>SCOPE</t>
  </si>
  <si>
    <t>It is currently down to your discretion how you define what as "user" is. Traditionally this has been those registered on the LMS to borrow stock but this excludes a wide range of users who may access CAS, ILDS, user education etc. without ever borrowing an item from stock.</t>
  </si>
  <si>
    <t xml:space="preserve">1.1 to 1.9 </t>
  </si>
  <si>
    <t>Refer to the Electronic Staff Record (ESR) Staff Groups</t>
  </si>
  <si>
    <t>Staff group definitions are those used in the ESR and National Workforce Dataset (NWD) (available below) plus LKSL additions/changes for data consistency:</t>
  </si>
  <si>
    <t>https://digital.nhs.uk/data-and-information/areas-of-interest/workforce/national-workforce-data-set-nwd-guidance-documents</t>
  </si>
  <si>
    <t>The document to the right provides a summary of the ESR Staff Groups and Job Roles plus the LKSL additions</t>
  </si>
  <si>
    <t>1.1</t>
  </si>
  <si>
    <r>
      <t>See</t>
    </r>
    <r>
      <rPr>
        <sz val="9"/>
        <rFont val="Calibri"/>
        <family val="2"/>
      </rPr>
      <t xml:space="preserve"> document above for the job roles covered by this staff group</t>
    </r>
  </si>
  <si>
    <t>1.2</t>
  </si>
  <si>
    <t>Additional Prof., Scientific &amp; Technical abbreviated to 'Additional Prof Sci &amp; Tech' on ESR</t>
  </si>
  <si>
    <t>1.3</t>
  </si>
  <si>
    <t>1.4</t>
  </si>
  <si>
    <t>1.5</t>
  </si>
  <si>
    <t>1.6</t>
  </si>
  <si>
    <t>1.7</t>
  </si>
  <si>
    <r>
      <t xml:space="preserve">INCLUDES: </t>
    </r>
    <r>
      <rPr>
        <sz val="9"/>
        <color indexed="8"/>
        <rFont val="Calibri"/>
        <family val="2"/>
      </rPr>
      <t>F1, F2, ST1-ST5, Staff Grade</t>
    </r>
  </si>
  <si>
    <t>1.8</t>
  </si>
  <si>
    <t>1.9</t>
  </si>
  <si>
    <r>
      <t>EXCLUDES</t>
    </r>
    <r>
      <rPr>
        <sz val="9"/>
        <color indexed="8"/>
        <rFont val="Calibri"/>
        <family val="2"/>
      </rPr>
      <t xml:space="preserve"> F1, F2, ST1-ST5, Staff Grade which should be recorded in </t>
    </r>
    <r>
      <rPr>
        <b/>
        <sz val="9"/>
        <color indexed="12"/>
        <rFont val="Calibri"/>
        <family val="2"/>
      </rPr>
      <t>1.7</t>
    </r>
  </si>
  <si>
    <t>Other (Non ESR)</t>
  </si>
  <si>
    <t>This category covers people not employed by the NHS - i.e. only those for whom there is not an ESR category.
But note the comment at 1.10d for Public Health clinical staff.</t>
  </si>
  <si>
    <t xml:space="preserve">External members </t>
  </si>
  <si>
    <r>
      <t xml:space="preserve">For users who are not NHS employees and do not fit in categories </t>
    </r>
    <r>
      <rPr>
        <b/>
        <sz val="9"/>
        <color theme="1"/>
        <rFont val="Calibri"/>
        <family val="2"/>
      </rPr>
      <t>1.1 to 1.9</t>
    </r>
    <r>
      <rPr>
        <sz val="9"/>
        <color theme="1"/>
        <rFont val="Calibri"/>
        <family val="2"/>
      </rPr>
      <t xml:space="preserve"> or </t>
    </r>
    <r>
      <rPr>
        <b/>
        <sz val="9"/>
        <color theme="1"/>
        <rFont val="Calibri"/>
        <family val="2"/>
      </rPr>
      <t>1.10b to 1.10f</t>
    </r>
  </si>
  <si>
    <t xml:space="preserve">HEI staff </t>
  </si>
  <si>
    <r>
      <t xml:space="preserve">For users who are directly employed by a HEI e.g. lecturers. 
</t>
    </r>
    <r>
      <rPr>
        <b/>
        <sz val="9"/>
        <color theme="1"/>
        <rFont val="Calibri"/>
        <family val="2"/>
      </rPr>
      <t>INCLUDE:</t>
    </r>
    <r>
      <rPr>
        <sz val="9"/>
        <color theme="1"/>
        <rFont val="Calibri"/>
        <family val="2"/>
      </rPr>
      <t xml:space="preserve"> HEI library staff registered for personal use. </t>
    </r>
    <r>
      <rPr>
        <b/>
        <sz val="9"/>
        <color rgb="FFFF0000"/>
        <rFont val="Calibri"/>
        <family val="2"/>
      </rPr>
      <t>EXCLUDE</t>
    </r>
    <r>
      <rPr>
        <b/>
        <sz val="9"/>
        <color theme="1"/>
        <rFont val="Calibri"/>
        <family val="2"/>
      </rPr>
      <t>:</t>
    </r>
    <r>
      <rPr>
        <sz val="9"/>
        <color theme="1"/>
        <rFont val="Calibri"/>
        <family val="2"/>
      </rPr>
      <t xml:space="preserve"> HEI libraries - use </t>
    </r>
    <r>
      <rPr>
        <b/>
        <sz val="9"/>
        <color theme="1"/>
        <rFont val="Calibri"/>
        <family val="2"/>
      </rPr>
      <t>1.10c Libraries</t>
    </r>
  </si>
  <si>
    <t>1.10c</t>
  </si>
  <si>
    <t>e.g. for libraries registered as users for Inter Lending and Document Supply purposes.</t>
  </si>
  <si>
    <t xml:space="preserve">Local authority </t>
  </si>
  <si>
    <t>All public authority employees including Social Care/Social Services and Public Health staff both clinical and non-clinical.</t>
  </si>
  <si>
    <r>
      <t>Section 1:  USERS</t>
    </r>
    <r>
      <rPr>
        <b/>
        <sz val="9"/>
        <color theme="9" tint="-0.249977111117893"/>
        <rFont val="Calibri"/>
        <family val="2"/>
      </rPr>
      <t xml:space="preserve"> - </t>
    </r>
    <r>
      <rPr>
        <b/>
        <sz val="9"/>
        <color rgb="FF0000FF"/>
        <rFont val="Calibri"/>
        <family val="2"/>
      </rPr>
      <t>continued</t>
    </r>
  </si>
  <si>
    <r>
      <t xml:space="preserve">For individuals (often called patients, service users, clients) </t>
    </r>
    <r>
      <rPr>
        <b/>
        <sz val="9"/>
        <color theme="1"/>
        <rFont val="Calibri"/>
        <family val="2"/>
      </rPr>
      <t xml:space="preserve">who receive NHS services or care or  care for someone who does. </t>
    </r>
    <r>
      <rPr>
        <sz val="9"/>
        <color theme="1"/>
        <rFont val="Calibri"/>
        <family val="2"/>
      </rPr>
      <t xml:space="preserve">
</t>
    </r>
    <r>
      <rPr>
        <b/>
        <sz val="9"/>
        <color theme="1"/>
        <rFont val="Calibri"/>
        <family val="2"/>
      </rPr>
      <t xml:space="preserve">INCLUDE: </t>
    </r>
    <r>
      <rPr>
        <sz val="9"/>
        <color theme="1"/>
        <rFont val="Calibri"/>
        <family val="2"/>
      </rPr>
      <t xml:space="preserve"> members of the public (who may/ may not be either receiving NHS services/ care </t>
    </r>
    <r>
      <rPr>
        <b/>
        <sz val="9"/>
        <color theme="1"/>
        <rFont val="Calibri"/>
        <family val="2"/>
      </rPr>
      <t>or</t>
    </r>
    <r>
      <rPr>
        <sz val="9"/>
        <color theme="1"/>
        <rFont val="Calibri"/>
        <family val="2"/>
      </rPr>
      <t xml:space="preserve"> caring for someone who does).</t>
    </r>
  </si>
  <si>
    <t>1.10f</t>
  </si>
  <si>
    <t>Volunteers</t>
  </si>
  <si>
    <r>
      <t xml:space="preserve">For individuals who "work" for an NHS organisation without receiving payment for the work. They may receive expenses.
</t>
    </r>
    <r>
      <rPr>
        <b/>
        <sz val="9"/>
        <color theme="1"/>
        <rFont val="Calibri"/>
        <family val="2"/>
      </rPr>
      <t>INCLUDE:</t>
    </r>
    <r>
      <rPr>
        <sz val="9"/>
        <color theme="1"/>
        <rFont val="Calibri"/>
        <family val="2"/>
      </rPr>
      <t xml:space="preserve"> Trust governors, WRVS staff, library volunteers etc.</t>
    </r>
  </si>
  <si>
    <t>Other (not included in 1.1 to 1.9 or 1.10a to 1.10g)</t>
  </si>
  <si>
    <r>
      <t xml:space="preserve">This category should only be used when no other ESR category is suitable.
</t>
    </r>
    <r>
      <rPr>
        <sz val="9"/>
        <rFont val="Calibri"/>
        <family val="2"/>
      </rPr>
      <t>Please add any details in the "Comment from Library Manager" box as it may help us decide if another category is required.</t>
    </r>
  </si>
  <si>
    <t>Total users</t>
  </si>
  <si>
    <t>If you are unable to provide a breakdown by the groups specified, then put your total users here.</t>
  </si>
  <si>
    <t xml:space="preserve">Section 2 :  EXPENDITURE </t>
  </si>
  <si>
    <t>It is recommended that you discuss this with your Finance Department before completing the form.</t>
  </si>
  <si>
    <t xml:space="preserve">Please note "ACTUAL EXPENDITURE" (not budgets) under the various headings. </t>
  </si>
  <si>
    <r>
      <t>Joint purchases:</t>
    </r>
    <r>
      <rPr>
        <sz val="9"/>
        <rFont val="Calibri"/>
        <family val="2"/>
      </rPr>
      <t xml:space="preserve"> When items have been bought as part of a purchasing collaborative scheme you should only enter the contribution made by the service rather than the whole cost.</t>
    </r>
  </si>
  <si>
    <t>Staff</t>
  </si>
  <si>
    <t xml:space="preserve">Enter staff gross costs including employer's National Insurance, superannuation etc.  </t>
  </si>
  <si>
    <t xml:space="preserve">Books and other non-journal print materials </t>
  </si>
  <si>
    <r>
      <t xml:space="preserve">Include all expenditure on books, pamphlets, reports etc. but </t>
    </r>
    <r>
      <rPr>
        <b/>
        <sz val="9"/>
        <rFont val="Calibri"/>
        <family val="2"/>
      </rPr>
      <t>EXCLUDE</t>
    </r>
    <r>
      <rPr>
        <sz val="9"/>
        <rFont val="Calibri"/>
        <family val="2"/>
      </rPr>
      <t xml:space="preserve"> </t>
    </r>
    <r>
      <rPr>
        <b/>
        <sz val="9"/>
        <rFont val="Calibri"/>
        <family val="2"/>
      </rPr>
      <t>e-books</t>
    </r>
    <r>
      <rPr>
        <sz val="9"/>
        <rFont val="Calibri"/>
        <family val="2"/>
      </rPr>
      <t xml:space="preserve"> which should be entered against </t>
    </r>
    <r>
      <rPr>
        <b/>
        <sz val="9"/>
        <color rgb="FF0000FF"/>
        <rFont val="Calibri"/>
        <family val="2"/>
      </rPr>
      <t>2.6 Electronic books</t>
    </r>
  </si>
  <si>
    <t>2.3a  </t>
  </si>
  <si>
    <t>Print journals</t>
  </si>
  <si>
    <t>Use for journals/periodicals/serials, annuals and newspapers purchased in a print only format.</t>
  </si>
  <si>
    <t>2.3b</t>
  </si>
  <si>
    <t>Print and electronic journals (bundle)</t>
  </si>
  <si>
    <r>
      <t xml:space="preserve">Use for journals/periodicals/serials, annuals and newspapers purchased as a joint print and electronic subscription.  </t>
    </r>
    <r>
      <rPr>
        <b/>
        <sz val="9"/>
        <rFont val="Calibri"/>
        <family val="2"/>
      </rPr>
      <t>Include</t>
    </r>
    <r>
      <rPr>
        <sz val="9"/>
        <rFont val="Calibri"/>
        <family val="2"/>
      </rPr>
      <t xml:space="preserve"> VAT.</t>
    </r>
  </si>
  <si>
    <r>
      <t xml:space="preserve">Include here the cost of databases including ClinicalKey. </t>
    </r>
    <r>
      <rPr>
        <b/>
        <sz val="9"/>
        <rFont val="Calibri"/>
        <family val="2"/>
      </rPr>
      <t xml:space="preserve">Include </t>
    </r>
    <r>
      <rPr>
        <sz val="9"/>
        <rFont val="Calibri"/>
        <family val="2"/>
      </rPr>
      <t>VAT.</t>
    </r>
  </si>
  <si>
    <r>
      <t xml:space="preserve">Include electronic </t>
    </r>
    <r>
      <rPr>
        <sz val="9"/>
        <rFont val="Calibri"/>
        <family val="2"/>
      </rPr>
      <t xml:space="preserve">collections/bundles e.g. Science Direct. </t>
    </r>
    <r>
      <rPr>
        <b/>
        <sz val="9"/>
        <rFont val="Calibri"/>
        <family val="2"/>
      </rPr>
      <t>Include</t>
    </r>
    <r>
      <rPr>
        <sz val="9"/>
        <rFont val="Calibri"/>
        <family val="2"/>
      </rPr>
      <t xml:space="preserve"> VAT.</t>
    </r>
  </si>
  <si>
    <r>
      <t xml:space="preserve">Includes titles purchased outright or through a subscription/licence or as part of an e-book collection. </t>
    </r>
    <r>
      <rPr>
        <b/>
        <sz val="9"/>
        <rFont val="Calibri"/>
        <family val="2"/>
      </rPr>
      <t>Include</t>
    </r>
    <r>
      <rPr>
        <sz val="9"/>
        <rFont val="Calibri"/>
        <family val="2"/>
      </rPr>
      <t xml:space="preserve"> VAT.</t>
    </r>
  </si>
  <si>
    <r>
      <t>Total expenditure on</t>
    </r>
    <r>
      <rPr>
        <b/>
        <sz val="9"/>
        <color theme="1"/>
        <rFont val="Calibri"/>
        <family val="2"/>
      </rPr>
      <t xml:space="preserve"> inter-library lending and document supply </t>
    </r>
    <r>
      <rPr>
        <sz val="9"/>
        <color theme="1"/>
        <rFont val="Calibri"/>
        <family val="2"/>
      </rPr>
      <t xml:space="preserve">e.g. BL deposit accounts,; subscription for WINCHILL; subscriptions, fees and postage to NULJ, PLCS, BMA etc. </t>
    </r>
  </si>
  <si>
    <t>Cost of course and conference fees, in-house and external training costs met by the library for library staff.</t>
  </si>
  <si>
    <t>Library management system</t>
  </si>
  <si>
    <r>
      <t xml:space="preserve">We recognise that you have provided costing for the national LMS survey but our review of previous submission suggests this has been "lost" in "other expenditure" for many years and the percentage of funding included in other has risen year on year. 
See </t>
    </r>
    <r>
      <rPr>
        <b/>
        <sz val="9"/>
        <color rgb="FF0000FF"/>
        <rFont val="Calibri"/>
        <family val="2"/>
      </rPr>
      <t>2.12</t>
    </r>
    <r>
      <rPr>
        <sz val="9"/>
        <rFont val="Calibri"/>
        <family val="2"/>
      </rPr>
      <t xml:space="preserve"> below.
</t>
    </r>
  </si>
  <si>
    <t>Please put annual maintenance fees in recurrent and purchase of system/additional modules in non-recurrent.</t>
  </si>
  <si>
    <t xml:space="preserve">Other </t>
  </si>
  <si>
    <r>
      <t xml:space="preserve">Covers all other operating costs (e.g. stationery, photocopying, other consumables, furniture and equipment not listed elsewhere).
</t>
    </r>
    <r>
      <rPr>
        <b/>
        <sz val="9"/>
        <color rgb="FFFF0000"/>
        <rFont val="Calibri"/>
        <family val="2"/>
      </rPr>
      <t xml:space="preserve">In 2017-18 "other expenditure" accounted for £1.7 million or 4% ot total expenditure. </t>
    </r>
    <r>
      <rPr>
        <sz val="9"/>
        <rFont val="Calibri"/>
        <family val="2"/>
      </rPr>
      <t xml:space="preserve">
Please itemise </t>
    </r>
    <r>
      <rPr>
        <b/>
        <sz val="9"/>
        <rFont val="Calibri"/>
        <family val="2"/>
      </rPr>
      <t>Point of Care resource</t>
    </r>
    <r>
      <rPr>
        <sz val="9"/>
        <rFont val="Calibri"/>
        <family val="2"/>
      </rPr>
      <t xml:space="preserve">s (excluding ClinicalKey) and the amount paid and list your top 3 highest expenditure items with the amount so we can assess whether additional expenditure categories are needed. 
</t>
    </r>
  </si>
  <si>
    <t>Section 3:   INCOME</t>
  </si>
  <si>
    <r>
      <rPr>
        <b/>
        <sz val="9"/>
        <rFont val="Calibri"/>
        <family val="2"/>
      </rPr>
      <t>INCOME</t>
    </r>
    <r>
      <rPr>
        <sz val="9"/>
        <rFont val="Calibri"/>
        <family val="2"/>
      </rPr>
      <t xml:space="preserve"> is defined as income for library operational budgets. It excludes capital costs/overheads which are outside the control of the librarian.</t>
    </r>
  </si>
  <si>
    <r>
      <rPr>
        <b/>
        <sz val="9"/>
        <rFont val="Calibri"/>
        <family val="2"/>
      </rPr>
      <t>Recurrent</t>
    </r>
    <r>
      <rPr>
        <sz val="9"/>
        <rFont val="Calibri"/>
        <family val="2"/>
      </rPr>
      <t xml:space="preserve"> is income which you consider to be fairly safe year on year.</t>
    </r>
  </si>
  <si>
    <r>
      <rPr>
        <b/>
        <sz val="9"/>
        <rFont val="Calibri"/>
        <family val="2"/>
      </rPr>
      <t>Non-recurrent or project funding</t>
    </r>
    <r>
      <rPr>
        <sz val="9"/>
        <rFont val="Calibri"/>
        <family val="2"/>
      </rPr>
      <t xml:space="preserve"> is generally income provided during the course of a year for a specific purchase/project, etc.</t>
    </r>
  </si>
  <si>
    <t>N.B. The OVERALL EXPENDITURE (i.e. total in EXPENDITURE 3.14 (recurrent) + EXPENDITURE 3.14 (non-recurrent)) should balance with (or be close to) OVERALL INCOME (i.e. total in INCOME 3.12 (recurrent) + INCOME 3.12 (non-recurrent)).</t>
  </si>
  <si>
    <t>All figures should be entered as positive values. You will see an error message if you try to enter say -2456.</t>
  </si>
  <si>
    <t xml:space="preserve">3.1 </t>
  </si>
  <si>
    <t>Merges 3 separate MPET streams (MADEL, NMET and SIFT) in to education tariff funding.</t>
  </si>
  <si>
    <t>3.2</t>
  </si>
  <si>
    <t>Enter sums received for items such as CPD and sums for providing LKS to HEE staff.</t>
  </si>
  <si>
    <t>3.5 - 3.6</t>
  </si>
  <si>
    <t>Enter sums related to agreements/SLAs with medical and non-medical education providers with which your HEE area organisation has contracts.</t>
  </si>
  <si>
    <t>3.7</t>
  </si>
  <si>
    <t>Enter sums related to other agreements/SLAs with local HE/FE organisations.</t>
  </si>
  <si>
    <t>3.9</t>
  </si>
  <si>
    <t>This has been added to cater for those NHS library services that are joint/solely funded by the local authority.</t>
  </si>
  <si>
    <t>3.10</t>
  </si>
  <si>
    <t>Include sums received from research and sums not specified elsewhere.</t>
  </si>
  <si>
    <t>3.11</t>
  </si>
  <si>
    <r>
      <t xml:space="preserve">Enter any figure against </t>
    </r>
    <r>
      <rPr>
        <b/>
        <sz val="9"/>
        <rFont val="Calibri"/>
        <family val="2"/>
      </rPr>
      <t>Income generation</t>
    </r>
    <r>
      <rPr>
        <sz val="9"/>
        <rFont val="Calibri"/>
        <family val="2"/>
      </rPr>
      <t xml:space="preserve"> in </t>
    </r>
    <r>
      <rPr>
        <b/>
        <sz val="9"/>
        <rFont val="Calibri"/>
        <family val="2"/>
      </rPr>
      <t>Non-recurrent or project</t>
    </r>
    <r>
      <rPr>
        <sz val="9"/>
        <rFont val="Calibri"/>
        <family val="2"/>
      </rPr>
      <t>.</t>
    </r>
  </si>
  <si>
    <t>3.12</t>
  </si>
  <si>
    <t>If you are unable to provide a breakdown of your income by funding stream then please enter the total amount you received in this row.</t>
  </si>
  <si>
    <t>3.13</t>
  </si>
  <si>
    <t>Cost Improvement/Cost Savings/CRES</t>
  </si>
  <si>
    <t>Each year every NHS organisation is required by the Department of Health to make Cash Releasing Efficiency Savings (CRES). This is a set percentage of total baseline budgets. If the efficiency savings are not achieved then they are added to the organisation's total deficit.</t>
  </si>
  <si>
    <t>This may also be called Cost Savings or Cost Improvement.</t>
  </si>
  <si>
    <t>This requires a YES/NO answer using 1 to equal YES and 0 to equal NO</t>
  </si>
  <si>
    <t>Section 4:  LOANS FROM STOCK</t>
  </si>
  <si>
    <r>
      <rPr>
        <b/>
        <sz val="9"/>
        <rFont val="Calibri"/>
        <family val="2"/>
      </rPr>
      <t xml:space="preserve">Loans </t>
    </r>
    <r>
      <rPr>
        <sz val="9"/>
        <rFont val="Calibri"/>
        <family val="2"/>
      </rPr>
      <t>means where applicable:
* loan and renewal of any items held by the library regardless of format
* downloads of an entire e-book (</t>
    </r>
    <r>
      <rPr>
        <b/>
        <sz val="9"/>
        <color rgb="FFFF0000"/>
        <rFont val="Calibri"/>
        <family val="2"/>
      </rPr>
      <t>EXCLUDES</t>
    </r>
    <r>
      <rPr>
        <sz val="9"/>
        <rFont val="Calibri"/>
        <family val="2"/>
      </rPr>
      <t xml:space="preserve"> download of </t>
    </r>
    <r>
      <rPr>
        <b/>
        <sz val="9"/>
        <rFont val="Calibri"/>
        <family val="2"/>
      </rPr>
      <t>chapters</t>
    </r>
    <r>
      <rPr>
        <sz val="9"/>
        <rFont val="Calibri"/>
        <family val="2"/>
      </rPr>
      <t xml:space="preserve">, record in </t>
    </r>
    <r>
      <rPr>
        <b/>
        <sz val="9"/>
        <color rgb="FF0000FF"/>
        <rFont val="Calibri"/>
        <family val="2"/>
      </rPr>
      <t xml:space="preserve">5 COPIES OF ARTICLES etc. FROM STOCK.) </t>
    </r>
    <r>
      <rPr>
        <sz val="9"/>
        <rFont val="Calibri"/>
        <family val="2"/>
      </rPr>
      <t xml:space="preserve">
* "use" of a reference item 
   (e.g. "use" is normally indicated by the need to reshelve out of place items or those left in a nominated place such as a trolley/table/desk)</t>
    </r>
  </si>
  <si>
    <r>
      <t xml:space="preserve">From stock </t>
    </r>
    <r>
      <rPr>
        <sz val="9"/>
        <rFont val="Calibri"/>
        <family val="2"/>
      </rPr>
      <t>means items of any format:</t>
    </r>
    <r>
      <rPr>
        <b/>
        <sz val="9"/>
        <rFont val="Calibri"/>
        <family val="2"/>
      </rPr>
      <t xml:space="preserve">
</t>
    </r>
    <r>
      <rPr>
        <sz val="9"/>
        <rFont val="Calibri"/>
        <family val="2"/>
      </rPr>
      <t xml:space="preserve"> * print format items e.g. books, reports, theses, journals/periodicals/serials (both individual parts/issues and bound items), reference items etc.
 * e-books
 * DVDs and CDs etc.
 * models, posters, resource packs (usually public health related) etc.
 * electronic devices e.g. laptops, e-readers, tablets, projectors etc.</t>
    </r>
  </si>
  <si>
    <r>
      <t xml:space="preserve">Other libraries </t>
    </r>
    <r>
      <rPr>
        <sz val="9"/>
        <rFont val="Calibri"/>
        <family val="2"/>
      </rPr>
      <t>means where applicable:</t>
    </r>
    <r>
      <rPr>
        <b/>
        <sz val="9"/>
        <rFont val="Calibri"/>
        <family val="2"/>
      </rPr>
      <t xml:space="preserve">
</t>
    </r>
    <r>
      <rPr>
        <sz val="9"/>
        <rFont val="Calibri"/>
        <family val="2"/>
      </rPr>
      <t>* any library in geographic inter-lending networks  of which you are members. 
* national schemes such as PLCS, SINC
* libraries such as BMA, RCSEng etc. 
* any other library regardless of sector or type.</t>
    </r>
  </si>
  <si>
    <t xml:space="preserve">
                 </t>
  </si>
  <si>
    <t>Section 5:  COPIES OF ARTICLES/DOWNLOADS OF CHAPTERS FROM E-BOOKS etc. FROM STOCK</t>
  </si>
  <si>
    <r>
      <rPr>
        <b/>
        <sz val="9"/>
        <rFont val="Calibri"/>
        <family val="2"/>
      </rPr>
      <t>Copies INCLUDES</t>
    </r>
    <r>
      <rPr>
        <sz val="9"/>
        <rFont val="Calibri"/>
        <family val="2"/>
      </rPr>
      <t xml:space="preserve"> where applicable: 
* downloads (e.g. chapters from e-books </t>
    </r>
    <r>
      <rPr>
        <b/>
        <sz val="9"/>
        <color rgb="FFFF0000"/>
        <rFont val="Calibri"/>
        <family val="2"/>
      </rPr>
      <t>BUT</t>
    </r>
    <r>
      <rPr>
        <sz val="9"/>
        <rFont val="Calibri"/>
        <family val="2"/>
      </rPr>
      <t xml:space="preserve"> only those </t>
    </r>
    <r>
      <rPr>
        <b/>
        <sz val="9"/>
        <rFont val="Calibri"/>
        <family val="2"/>
      </rPr>
      <t>downloaded by LKS staff</t>
    </r>
    <r>
      <rPr>
        <sz val="9"/>
        <rFont val="Calibri"/>
        <family val="2"/>
      </rPr>
      <t xml:space="preserve"> for a reader/user/other library)
* scans 
* photocopies
* printouts 
made from printed/electronic/other formats (e.g. DVDs/CDs/microforms).
</t>
    </r>
    <r>
      <rPr>
        <b/>
        <sz val="9"/>
        <rFont val="Calibri"/>
        <family val="2"/>
      </rPr>
      <t xml:space="preserve">EXCLUDES </t>
    </r>
    <r>
      <rPr>
        <sz val="9"/>
        <rFont val="Calibri"/>
        <family val="2"/>
      </rPr>
      <t>downloads of chapters from e-books made by readers/users. You are not asked to report this data but we anticipate you will collect this data for your own use.</t>
    </r>
  </si>
  <si>
    <r>
      <t>From stock</t>
    </r>
    <r>
      <rPr>
        <sz val="9"/>
        <rFont val="Calibri"/>
        <family val="2"/>
      </rPr>
      <t xml:space="preserve"> - items in any format (see </t>
    </r>
    <r>
      <rPr>
        <b/>
        <sz val="9"/>
        <color rgb="FF0000FF"/>
        <rFont val="Calibri"/>
        <family val="2"/>
      </rPr>
      <t xml:space="preserve">4 LOANS FROM STOCK </t>
    </r>
    <r>
      <rPr>
        <b/>
        <sz val="9"/>
        <color rgb="FFFF0000"/>
        <rFont val="Calibri"/>
        <family val="2"/>
      </rPr>
      <t>definition</t>
    </r>
    <r>
      <rPr>
        <b/>
        <sz val="9"/>
        <rFont val="Calibri"/>
        <family val="2"/>
      </rPr>
      <t xml:space="preserve"> </t>
    </r>
    <r>
      <rPr>
        <sz val="9"/>
        <rFont val="Calibri"/>
        <family val="2"/>
      </rPr>
      <t>above) that are:
* owned by and/or 
* accessed by the library (open access, purchased, donated, subscription) e.g. National Core Content, regional and/or local resources etc.</t>
    </r>
  </si>
  <si>
    <r>
      <rPr>
        <b/>
        <sz val="9"/>
        <rFont val="Calibri"/>
        <family val="2"/>
      </rPr>
      <t xml:space="preserve">Own readers/users </t>
    </r>
    <r>
      <rPr>
        <sz val="9"/>
        <rFont val="Calibri"/>
        <family val="2"/>
      </rPr>
      <t xml:space="preserve">- includes all readers/users within a whole library service group i.e. not just a major/main/lead library. 
</t>
    </r>
    <r>
      <rPr>
        <b/>
        <sz val="9"/>
        <rFont val="Calibri"/>
        <family val="2"/>
      </rPr>
      <t>INCLUDE</t>
    </r>
    <r>
      <rPr>
        <sz val="9"/>
        <rFont val="Calibri"/>
        <family val="2"/>
      </rPr>
      <t xml:space="preserve">  </t>
    </r>
    <r>
      <rPr>
        <b/>
        <sz val="9"/>
        <rFont val="Calibri"/>
        <family val="2"/>
      </rPr>
      <t>all</t>
    </r>
    <r>
      <rPr>
        <sz val="9"/>
        <rFont val="Calibri"/>
        <family val="2"/>
      </rPr>
      <t xml:space="preserve"> readers/users from </t>
    </r>
    <r>
      <rPr>
        <b/>
        <sz val="9"/>
        <rFont val="Calibri"/>
        <family val="2"/>
      </rPr>
      <t>all</t>
    </r>
    <r>
      <rPr>
        <sz val="9"/>
        <rFont val="Calibri"/>
        <family val="2"/>
      </rPr>
      <t xml:space="preserve"> libraries listed  under "Full names of library sites included in this return" </t>
    </r>
  </si>
  <si>
    <r>
      <t>Self-service</t>
    </r>
    <r>
      <rPr>
        <sz val="9"/>
        <rFont val="Calibri"/>
        <family val="2"/>
      </rPr>
      <t xml:space="preserve"> - </t>
    </r>
    <r>
      <rPr>
        <b/>
        <sz val="9"/>
        <rFont val="Calibri"/>
        <family val="2"/>
      </rPr>
      <t>do not count copies</t>
    </r>
    <r>
      <rPr>
        <sz val="9"/>
        <rFont val="Calibri"/>
        <family val="2"/>
      </rPr>
      <t xml:space="preserve"> users make for themselves. If staff do not make any copies for users, enter NA. </t>
    </r>
  </si>
  <si>
    <r>
      <t xml:space="preserve">Other libraries </t>
    </r>
    <r>
      <rPr>
        <sz val="9"/>
        <rFont val="Calibri"/>
        <family val="2"/>
      </rPr>
      <t>means where applicable:</t>
    </r>
    <r>
      <rPr>
        <b/>
        <sz val="9"/>
        <rFont val="Calibri"/>
        <family val="2"/>
      </rPr>
      <t xml:space="preserve">
</t>
    </r>
    <r>
      <rPr>
        <sz val="9"/>
        <rFont val="Calibri"/>
        <family val="2"/>
      </rPr>
      <t xml:space="preserve">* any library in geographic inter-lending networks of which you are members. 
* national schemes such as PLCS, SINC
* libraries such as BMA, RCSEng etc. </t>
    </r>
    <r>
      <rPr>
        <sz val="9"/>
        <rFont val="Calibri"/>
        <family val="2"/>
      </rPr>
      <t xml:space="preserve">
* any other library regardless of sector or type.</t>
    </r>
  </si>
  <si>
    <r>
      <t>Section 6:  LOANS RECEIVED FROM OTHER LIBRARIES</t>
    </r>
    <r>
      <rPr>
        <b/>
        <sz val="9"/>
        <color indexed="53"/>
        <rFont val="Calibri"/>
        <family val="2"/>
      </rPr>
      <t xml:space="preserve"> </t>
    </r>
    <r>
      <rPr>
        <b/>
        <sz val="9"/>
        <color rgb="FF0000FF"/>
        <rFont val="Calibri"/>
        <family val="2"/>
      </rPr>
      <t>(PHYSICAL ITEMS)</t>
    </r>
  </si>
  <si>
    <t xml:space="preserve">SCOPE
</t>
  </si>
  <si>
    <r>
      <t xml:space="preserve">This </t>
    </r>
    <r>
      <rPr>
        <b/>
        <sz val="9"/>
        <rFont val="Calibri"/>
        <family val="2"/>
      </rPr>
      <t>INCLUDES</t>
    </r>
    <r>
      <rPr>
        <sz val="9"/>
        <rFont val="Calibri"/>
        <family val="2"/>
      </rPr>
      <t xml:space="preserve"> where applicable: 
 * print format items e.g. books, reports, theses, journals/periodicals/serials (both individual parts/issues and bound items), reference items  etc.
 * DVDs/CDs/microforms etc.
 * models, posters, resource packs (usually public health related) etc.
 * electronic devices e.g. laptops, e-readers, tablets, projectors etc.
</t>
    </r>
    <r>
      <rPr>
        <b/>
        <sz val="9"/>
        <color rgb="FFFF0000"/>
        <rFont val="Calibri"/>
        <family val="2"/>
      </rPr>
      <t>EXCLUDES</t>
    </r>
    <r>
      <rPr>
        <sz val="9"/>
        <rFont val="Calibri"/>
        <family val="2"/>
      </rPr>
      <t xml:space="preserve"> copies/downloads/scans/printouts of single articles/chapters/sections which are counted in </t>
    </r>
    <r>
      <rPr>
        <b/>
        <sz val="9"/>
        <color indexed="12"/>
        <rFont val="Calibri"/>
        <family val="2"/>
      </rPr>
      <t>5 COPIES OF ARTICLES/DOWNLOADS OF CHAPTERS FROM E-BOOKS etc. FROM STOCK</t>
    </r>
  </si>
  <si>
    <t>6.1</t>
  </si>
  <si>
    <r>
      <t xml:space="preserve">Count a </t>
    </r>
    <r>
      <rPr>
        <b/>
        <sz val="9"/>
        <rFont val="Calibri"/>
        <family val="2"/>
      </rPr>
      <t xml:space="preserve">renewal </t>
    </r>
    <r>
      <rPr>
        <sz val="9"/>
        <rFont val="Calibri"/>
        <family val="2"/>
      </rPr>
      <t xml:space="preserve">as a loan.
</t>
    </r>
  </si>
  <si>
    <r>
      <t xml:space="preserve">Other libraries </t>
    </r>
    <r>
      <rPr>
        <sz val="9"/>
        <rFont val="Calibri"/>
        <family val="2"/>
      </rPr>
      <t>means where applicable:</t>
    </r>
    <r>
      <rPr>
        <b/>
        <sz val="9"/>
        <rFont val="Calibri"/>
        <family val="2"/>
      </rPr>
      <t xml:space="preserve">
</t>
    </r>
    <r>
      <rPr>
        <sz val="9"/>
        <rFont val="Calibri"/>
        <family val="2"/>
      </rPr>
      <t>* any library in geographic inter-lending networks  of which you are members. 
* national schemes such as PLCS , SINC
* libraries such as BMA, RCSEng etc. 
* any other library regardless of sector or type.</t>
    </r>
  </si>
  <si>
    <t>Section 7:  COPIES OF ARTICLES/DOWNLOADS OF CHAPTERS FROM E-BOOKS etc. SUPPLIED BY OTHER LIBRARIES</t>
  </si>
  <si>
    <r>
      <rPr>
        <b/>
        <sz val="9"/>
        <rFont val="Calibri"/>
        <family val="2"/>
      </rPr>
      <t>Copies INCLUDES</t>
    </r>
    <r>
      <rPr>
        <sz val="9"/>
        <rFont val="Calibri"/>
        <family val="2"/>
      </rPr>
      <t> where applicable: 
* downloads (e.g. chapters from e-books</t>
    </r>
    <r>
      <rPr>
        <sz val="9"/>
        <rFont val="Calibri"/>
        <family val="2"/>
      </rPr>
      <t>)
* scans 
* photocopies
* printouts 
made from printed/electronic/other formats (e.g. DVDs/CDs/microforms).</t>
    </r>
    <r>
      <rPr>
        <b/>
        <sz val="9"/>
        <rFont val="Calibri"/>
        <family val="2"/>
      </rPr>
      <t/>
    </r>
  </si>
  <si>
    <t>7.1</t>
  </si>
  <si>
    <t xml:space="preserve">Section 8:  KNOWLEDGE MOBILISATION AND INFORMATION CONSULTANCY SERVICES </t>
  </si>
  <si>
    <t>This section had major changes from 2017-18.</t>
  </si>
  <si>
    <t>8.1 to 8.4 KNOWLEDGE MOBILISATION AND INFORMATION CONSULTANCY SERVICES OFFERED</t>
  </si>
  <si>
    <t>8.1</t>
  </si>
  <si>
    <r>
      <t xml:space="preserve">A </t>
    </r>
    <r>
      <rPr>
        <b/>
        <sz val="9"/>
        <rFont val="Calibri"/>
        <family val="2"/>
      </rPr>
      <t>mediated searching service</t>
    </r>
    <r>
      <rPr>
        <sz val="9"/>
        <rFont val="Calibri"/>
        <family val="2"/>
      </rPr>
      <t xml:space="preserve"> is a service where library staff undertake literature searches on behalf of users. This service may not be provided to students</t>
    </r>
  </si>
  <si>
    <r>
      <t>Assisted searches</t>
    </r>
    <r>
      <rPr>
        <sz val="9"/>
        <rFont val="Calibri"/>
        <family val="2"/>
      </rPr>
      <t xml:space="preserve"> i.e. when the requestor is sitting beside the librarian or when a user starts the search, but then requests help with their search is now classified as </t>
    </r>
    <r>
      <rPr>
        <b/>
        <sz val="9"/>
        <rFont val="Calibri"/>
        <family val="2"/>
      </rPr>
      <t xml:space="preserve">User Education </t>
    </r>
    <r>
      <rPr>
        <sz val="9"/>
        <rFont val="Calibri"/>
        <family val="2"/>
      </rPr>
      <t xml:space="preserve">and should be included in section </t>
    </r>
    <r>
      <rPr>
        <b/>
        <sz val="9"/>
        <color indexed="12"/>
        <rFont val="Calibri"/>
        <family val="2"/>
      </rPr>
      <t>9.</t>
    </r>
  </si>
  <si>
    <r>
      <t xml:space="preserve">8.2 </t>
    </r>
    <r>
      <rPr>
        <b/>
        <sz val="9"/>
        <color rgb="FFFF0000"/>
        <rFont val="Calibri"/>
        <family val="2"/>
      </rPr>
      <t>New</t>
    </r>
  </si>
  <si>
    <r>
      <t xml:space="preserve">Evidence synthesis and summarising service after searches INCLUDES </t>
    </r>
    <r>
      <rPr>
        <sz val="9"/>
        <color theme="1"/>
        <rFont val="Calibri"/>
        <family val="2"/>
      </rPr>
      <t xml:space="preserve">categorising and prioritising the retrieved documents; strategic reading to highlight the key points; summarising single documents and selections; presenting your summarised findings effectively to enable the end-user to make an informed decision.
</t>
    </r>
  </si>
  <si>
    <r>
      <rPr>
        <sz val="9"/>
        <color theme="1"/>
        <rFont val="Calibri"/>
        <family val="2"/>
      </rPr>
      <t xml:space="preserve">If you </t>
    </r>
    <r>
      <rPr>
        <b/>
        <sz val="9"/>
        <color theme="1"/>
        <rFont val="Calibri"/>
        <family val="2"/>
      </rPr>
      <t xml:space="preserve">selectively provide this service </t>
    </r>
    <r>
      <rPr>
        <sz val="9"/>
        <color theme="1"/>
        <rFont val="Calibri"/>
        <family val="2"/>
      </rPr>
      <t xml:space="preserve">(e.g. dependent on the type of search requested, not every search due to time constraints)  then please still record a YES. 
</t>
    </r>
  </si>
  <si>
    <r>
      <t xml:space="preserve">DEFINITION </t>
    </r>
    <r>
      <rPr>
        <b/>
        <sz val="9"/>
        <color indexed="8"/>
        <rFont val="Calibri"/>
        <family val="2"/>
      </rPr>
      <t xml:space="preserve">
Clinical/embedded librarian</t>
    </r>
    <r>
      <rPr>
        <sz val="9"/>
        <color indexed="8"/>
        <rFont val="Calibri"/>
        <family val="2"/>
      </rPr>
      <t xml:space="preserve">: a role embedded in a clinical team, providing information as required by team members to support evidence-based practice and high quality patient care at the point of care or decision-making. </t>
    </r>
    <r>
      <rPr>
        <b/>
        <sz val="9"/>
        <color indexed="8"/>
        <rFont val="Calibri"/>
        <family val="2"/>
      </rPr>
      <t xml:space="preserve">
Outreach librarian/service: </t>
    </r>
    <r>
      <rPr>
        <sz val="9"/>
        <color indexed="8"/>
        <rFont val="Calibri"/>
        <family val="2"/>
      </rPr>
      <t>designed to support the work, learning and development needs of staff in their workplace.</t>
    </r>
    <r>
      <rPr>
        <b/>
        <sz val="9"/>
        <color indexed="8"/>
        <rFont val="Calibri"/>
        <family val="2"/>
      </rPr>
      <t xml:space="preserve">
</t>
    </r>
    <r>
      <rPr>
        <sz val="9"/>
        <color indexed="8"/>
        <rFont val="Calibri"/>
        <family val="2"/>
      </rPr>
      <t xml:space="preserve">
</t>
    </r>
  </si>
  <si>
    <r>
      <t xml:space="preserve">8.4 </t>
    </r>
    <r>
      <rPr>
        <b/>
        <sz val="9"/>
        <color rgb="FFFF0000"/>
        <rFont val="Calibri"/>
        <family val="2"/>
      </rPr>
      <t>New</t>
    </r>
  </si>
  <si>
    <r>
      <rPr>
        <b/>
        <sz val="9"/>
        <color rgb="FFFF0000"/>
        <rFont val="Calibri"/>
        <family val="2"/>
      </rPr>
      <t>DEFINITION</t>
    </r>
    <r>
      <rPr>
        <sz val="9"/>
        <rFont val="Calibri"/>
        <family val="2"/>
      </rPr>
      <t xml:space="preserve">
Knowledge mobilisation activities facilitate learning before, during or after a piece of work. This can include facilitating knowledge capture activities such as after action reviews and retrospects, as well as knowledge sharing activities such as randomised coffee trials or knowledge cafes, or curating knowledge assets such as maintaining a repository of locally produced research, intranet pages or ensuring local policies and procedures are kept updated and based upon evidence and good practice.</t>
    </r>
  </si>
  <si>
    <t>8.5 to 8.7 INFORMATION CONSULTANCY SERVICES TAKE UP</t>
  </si>
  <si>
    <t>If regular information searches and enquiries statistics are unavailable, it is recommended that this information be obtained by undertaking sample studies for either: 
             * one week and multiplying the resulting figure by 52 OR
             * two weeks and then multiplying the resulting figure by 26.
The resulting figures should then be entered in 8.4 to 8.6</t>
  </si>
  <si>
    <t>PURPOSE OF MEDIATED SEARCH</t>
  </si>
  <si>
    <r>
      <t xml:space="preserve">Please indicate the </t>
    </r>
    <r>
      <rPr>
        <b/>
        <sz val="9"/>
        <rFont val="Calibri"/>
        <family val="2"/>
      </rPr>
      <t>main purpose(s)</t>
    </r>
    <r>
      <rPr>
        <sz val="9"/>
        <rFont val="Calibri"/>
        <family val="2"/>
      </rPr>
      <t xml:space="preserve"> of the </t>
    </r>
    <r>
      <rPr>
        <b/>
        <sz val="9"/>
        <rFont val="Calibri"/>
        <family val="2"/>
      </rPr>
      <t>mediated search/user education</t>
    </r>
    <r>
      <rPr>
        <sz val="9"/>
        <rFont val="Calibri"/>
        <family val="2"/>
      </rPr>
      <t xml:space="preserve"> session as specified by the requestor. 
</t>
    </r>
    <r>
      <rPr>
        <b/>
        <sz val="9"/>
        <rFont val="Calibri"/>
        <family val="2"/>
      </rPr>
      <t>Purpose</t>
    </r>
    <r>
      <rPr>
        <sz val="9"/>
        <rFont val="Calibri"/>
        <family val="2"/>
      </rPr>
      <t xml:space="preserve"> is </t>
    </r>
    <r>
      <rPr>
        <b/>
        <sz val="9"/>
        <color rgb="FFFF0000"/>
        <rFont val="Calibri"/>
        <family val="2"/>
      </rPr>
      <t>not mutually exclusive</t>
    </r>
    <r>
      <rPr>
        <sz val="9"/>
        <rFont val="Calibri"/>
        <family val="2"/>
      </rPr>
      <t xml:space="preserve"> so if </t>
    </r>
    <r>
      <rPr>
        <b/>
        <sz val="9"/>
        <rFont val="Calibri"/>
        <family val="2"/>
      </rPr>
      <t xml:space="preserve">multiple purposes </t>
    </r>
    <r>
      <rPr>
        <sz val="9"/>
        <rFont val="Calibri"/>
        <family val="2"/>
      </rPr>
      <t>are indicated then please count in all categories.</t>
    </r>
    <r>
      <rPr>
        <sz val="9"/>
        <rFont val="Calibri"/>
        <family val="2"/>
      </rPr>
      <t xml:space="preserve">
</t>
    </r>
  </si>
  <si>
    <t>Totals vs. nos. carried out</t>
  </si>
  <si>
    <r>
      <t xml:space="preserve">As the </t>
    </r>
    <r>
      <rPr>
        <b/>
        <sz val="9"/>
        <rFont val="Calibri"/>
        <family val="2"/>
      </rPr>
      <t xml:space="preserve">purpose </t>
    </r>
    <r>
      <rPr>
        <sz val="9"/>
        <rFont val="Calibri"/>
        <family val="2"/>
      </rPr>
      <t xml:space="preserve">of a mediated search may fall in to </t>
    </r>
    <r>
      <rPr>
        <b/>
        <sz val="9"/>
        <rFont val="Calibri"/>
        <family val="2"/>
      </rPr>
      <t xml:space="preserve">more than one category </t>
    </r>
    <r>
      <rPr>
        <sz val="9"/>
        <rFont val="Calibri"/>
        <family val="2"/>
      </rPr>
      <t>then as expected the</t>
    </r>
    <r>
      <rPr>
        <b/>
        <sz val="9"/>
        <rFont val="Calibri"/>
        <family val="2"/>
      </rPr>
      <t xml:space="preserve"> 8.4 total number of searches </t>
    </r>
    <r>
      <rPr>
        <sz val="9"/>
        <rFont val="Calibri"/>
        <family val="2"/>
      </rPr>
      <t>(cell C117</t>
    </r>
    <r>
      <rPr>
        <b/>
        <sz val="9"/>
        <rFont val="Calibri"/>
        <family val="2"/>
      </rPr>
      <t xml:space="preserve">) may exceed the figure </t>
    </r>
    <r>
      <rPr>
        <sz val="9"/>
        <rFont val="Calibri"/>
        <family val="2"/>
      </rPr>
      <t>given in 8.4 "Total no. carried out" (cell E117-I117).</t>
    </r>
  </si>
  <si>
    <r>
      <t xml:space="preserve">MEDIATED LITERATURE SEARCHES (SEE </t>
    </r>
    <r>
      <rPr>
        <b/>
        <sz val="9"/>
        <color rgb="FFFF0000"/>
        <rFont val="Calibri"/>
        <family val="2"/>
      </rPr>
      <t xml:space="preserve">DEFINITION </t>
    </r>
    <r>
      <rPr>
        <b/>
        <sz val="9"/>
        <color rgb="FF0000FF"/>
        <rFont val="Calibri"/>
        <family val="2"/>
      </rPr>
      <t>IN 8.1)</t>
    </r>
  </si>
  <si>
    <r>
      <rPr>
        <sz val="9"/>
        <rFont val="Calibri"/>
        <family val="2"/>
      </rPr>
      <t>A </t>
    </r>
    <r>
      <rPr>
        <b/>
        <sz val="9"/>
        <rFont val="Calibri"/>
        <family val="2"/>
      </rPr>
      <t>search</t>
    </r>
    <r>
      <rPr>
        <sz val="9"/>
        <rFont val="Calibri"/>
        <family val="2"/>
      </rPr>
      <t xml:space="preserve"> is a distinct question or information need for which any number of databases or other resources may be consulted.     </t>
    </r>
  </si>
  <si>
    <t>If you search multiple databases consecutively to answer the question then count as 1 search; count a supplementary or follow up search requested by the user as a new search.  </t>
  </si>
  <si>
    <r>
      <t xml:space="preserve">8.5b </t>
    </r>
    <r>
      <rPr>
        <b/>
        <sz val="9"/>
        <color rgb="FFFF0000"/>
        <rFont val="Calibri"/>
        <family val="2"/>
      </rPr>
      <t>New</t>
    </r>
  </si>
  <si>
    <r>
      <rPr>
        <b/>
        <sz val="9"/>
        <color rgb="FFFF0000"/>
        <rFont val="Calibri"/>
        <family val="2"/>
      </rPr>
      <t>DEFINITION</t>
    </r>
    <r>
      <rPr>
        <b/>
        <sz val="9"/>
        <rFont val="Calibri"/>
        <family val="2"/>
      </rPr>
      <t xml:space="preserve">
</t>
    </r>
    <r>
      <rPr>
        <sz val="9"/>
        <rFont val="Calibri"/>
        <family val="2"/>
      </rPr>
      <t>Synthesis and summary refers to manipulation of search results to produce a report. A ‘summary’ would include results grouped by theme along with a summary, usually of 100 words or more,  where, in addition to describing the search strategy, key results are highlighted and appraised for relevance. A ‘synthesis’ develops this further, and is usually carried out as part of a systematic review to give an evaluation and analysis of results from multiple studies and provide an overall conclusion.</t>
    </r>
  </si>
  <si>
    <t>8.6 - 8.7</t>
  </si>
  <si>
    <t>ENQUIRIES</t>
  </si>
  <si>
    <t>The guidelines below are based on SCONUL's definitions of any enquiry. Remember to multiply the sample week by 52 OR two week sample by 26 to provide a total figure if you use the sample approach.</t>
  </si>
  <si>
    <r>
      <rPr>
        <b/>
        <sz val="9"/>
        <color indexed="10"/>
        <rFont val="Calibri"/>
        <family val="2"/>
      </rPr>
      <t>DEFINITION</t>
    </r>
    <r>
      <rPr>
        <b/>
        <sz val="9"/>
        <rFont val="Calibri"/>
        <family val="2"/>
      </rPr>
      <t xml:space="preserve">
Information resource related enquiries</t>
    </r>
    <r>
      <rPr>
        <sz val="9"/>
        <rFont val="Calibri"/>
        <family val="2"/>
      </rPr>
      <t xml:space="preserve"> include those leading to the active involvement of staff in identifying and answering problems posed by library users which require the use of information resources owned or accessed by the library, or a detailed knowledge of the library stock. e.g. "where can I find a copy of the Hippocratic oath?", "how do I search for..?", "what have you got on..?", "do you have the address of..?" or "can you show me how to..?".
Include enquiries made regardless of the whether they are in person, via the telephone or via e-mail.</t>
    </r>
  </si>
  <si>
    <r>
      <t xml:space="preserve">8.6b </t>
    </r>
    <r>
      <rPr>
        <b/>
        <sz val="9"/>
        <color rgb="FFFF0000"/>
        <rFont val="Calibri"/>
        <family val="2"/>
      </rPr>
      <t>New</t>
    </r>
  </si>
  <si>
    <r>
      <t xml:space="preserve">Of how many information resource related enquires were related to patient information. </t>
    </r>
    <r>
      <rPr>
        <sz val="9"/>
        <rFont val="Calibri"/>
        <family val="2"/>
      </rPr>
      <t>In the sample week make a count of all information resource enquires related to health literacy and patient information. This will come down to professional judgement but would include: 
     •     information directly requested by a patient or a carer,
     •     information requested by a member of staff/student/volunteer for a patient, 
     •     information requested to update or write a patient information leaflet/website/video,
     •     information requested to support the role out and embedding of health literacy.</t>
    </r>
  </si>
  <si>
    <t>8.7</t>
  </si>
  <si>
    <r>
      <t xml:space="preserve">DEFINITION
</t>
    </r>
    <r>
      <rPr>
        <b/>
        <sz val="9"/>
        <rFont val="Calibri"/>
        <family val="2"/>
      </rPr>
      <t xml:space="preserve">Procedural enquiries </t>
    </r>
    <r>
      <rPr>
        <sz val="9"/>
        <rFont val="Calibri"/>
        <family val="2"/>
      </rPr>
      <t xml:space="preserve">are those relating to the Library's rules, regulations and operations e.g. "how do I join?", "is there a copier?", "what are your opening hours?", "has my book arrived yet?",
</t>
    </r>
    <r>
      <rPr>
        <b/>
        <sz val="9"/>
        <rFont val="Calibri"/>
        <family val="2"/>
      </rPr>
      <t>Directional enquiries</t>
    </r>
    <r>
      <rPr>
        <sz val="9"/>
        <rFont val="Calibri"/>
        <family val="2"/>
      </rPr>
      <t xml:space="preserve"> are those requesting direction to a specific item of stock, resource or area of the building e.g. toilets, rooms.
Include enquiries made regardless of the whether they are in person, via the telephone or via e-mail.</t>
    </r>
  </si>
  <si>
    <t>Section 9:  USER EDUCATION AND INDUCTION</t>
  </si>
  <si>
    <t>If regular user education and induction statistics are unavailable, please obtain by undertaking a sample study for one month, and multiplying the resulting figure by 12.</t>
  </si>
  <si>
    <t>DEFINITIONS &amp; GUIDANCE</t>
  </si>
  <si>
    <t>9.1 to 9.2</t>
  </si>
  <si>
    <t xml:space="preserve">User education/training </t>
  </si>
  <si>
    <r>
      <rPr>
        <b/>
        <sz val="9"/>
        <rFont val="Calibri"/>
        <family val="2"/>
      </rPr>
      <t>INCLUDES</t>
    </r>
    <r>
      <rPr>
        <sz val="9"/>
        <rFont val="Calibri"/>
        <family val="2"/>
      </rPr>
      <t xml:space="preserve"> both </t>
    </r>
    <r>
      <rPr>
        <b/>
        <sz val="9"/>
        <rFont val="Calibri"/>
        <family val="2"/>
      </rPr>
      <t xml:space="preserve">1:1 and group </t>
    </r>
    <r>
      <rPr>
        <sz val="9"/>
        <rFont val="Calibri"/>
        <family val="2"/>
      </rPr>
      <t xml:space="preserve">sessions (either formal or informal/ad-hoc) of:
* information skills/literacy training 
* critical appraisal skills training
* skills for life or other instances where library staff provide training in information handling skills. </t>
    </r>
  </si>
  <si>
    <t>DEFINITIONS</t>
  </si>
  <si>
    <r>
      <t>1 to 1 training:</t>
    </r>
    <r>
      <rPr>
        <sz val="9"/>
        <rFont val="Calibri"/>
        <family val="2"/>
      </rPr>
      <t xml:space="preserve"> includes </t>
    </r>
    <r>
      <rPr>
        <b/>
        <sz val="9"/>
        <rFont val="Calibri"/>
        <family val="2"/>
      </rPr>
      <t>assisted training</t>
    </r>
    <r>
      <rPr>
        <sz val="9"/>
        <rFont val="Calibri"/>
        <family val="2"/>
      </rPr>
      <t xml:space="preserve"> i.e. usually 1:1 training when the requestor is sitting beside the member of library staff.  </t>
    </r>
  </si>
  <si>
    <r>
      <t>Group training sessions</t>
    </r>
    <r>
      <rPr>
        <sz val="9"/>
        <rFont val="Calibri"/>
        <family val="2"/>
      </rPr>
      <t>: consist of 2 or more people and will normally be arranged or agreed in advance, have learning outcomes and may include practical exercises.</t>
    </r>
  </si>
  <si>
    <t>PURPOSE OF USER EDUCATION SESSION</t>
  </si>
  <si>
    <r>
      <t xml:space="preserve">Please indicate the </t>
    </r>
    <r>
      <rPr>
        <b/>
        <sz val="9"/>
        <rFont val="Calibri"/>
        <family val="2"/>
      </rPr>
      <t>main purpose(s)</t>
    </r>
    <r>
      <rPr>
        <sz val="9"/>
        <rFont val="Calibri"/>
        <family val="2"/>
      </rPr>
      <t xml:space="preserve"> of the </t>
    </r>
    <r>
      <rPr>
        <b/>
        <sz val="9"/>
        <rFont val="Calibri"/>
        <family val="2"/>
      </rPr>
      <t>mediated search/user education</t>
    </r>
    <r>
      <rPr>
        <sz val="9"/>
        <rFont val="Calibri"/>
        <family val="2"/>
      </rPr>
      <t xml:space="preserve"> session as specified by the requestor. 
Purpose is not mutually exclusive so if </t>
    </r>
    <r>
      <rPr>
        <b/>
        <sz val="9"/>
        <rFont val="Calibri"/>
        <family val="2"/>
      </rPr>
      <t xml:space="preserve">multiple purposes </t>
    </r>
    <r>
      <rPr>
        <sz val="9"/>
        <rFont val="Calibri"/>
        <family val="2"/>
      </rPr>
      <t>are indicated then please count in all categories.</t>
    </r>
  </si>
  <si>
    <r>
      <t xml:space="preserve">As the </t>
    </r>
    <r>
      <rPr>
        <b/>
        <sz val="9"/>
        <rFont val="Calibri"/>
        <family val="2"/>
      </rPr>
      <t xml:space="preserve">purpose </t>
    </r>
    <r>
      <rPr>
        <sz val="9"/>
        <rFont val="Calibri"/>
        <family val="2"/>
      </rPr>
      <t xml:space="preserve">of the user education session may fall in to </t>
    </r>
    <r>
      <rPr>
        <b/>
        <sz val="9"/>
        <rFont val="Calibri"/>
        <family val="2"/>
      </rPr>
      <t xml:space="preserve">more than one category </t>
    </r>
    <r>
      <rPr>
        <sz val="9"/>
        <rFont val="Calibri"/>
        <family val="2"/>
      </rPr>
      <t xml:space="preserve">then as expected the </t>
    </r>
    <r>
      <rPr>
        <b/>
        <sz val="9"/>
        <rFont val="Calibri"/>
        <family val="2"/>
      </rPr>
      <t>9.1 total number of user education sessions</t>
    </r>
    <r>
      <rPr>
        <sz val="9"/>
        <rFont val="Calibri"/>
        <family val="2"/>
      </rPr>
      <t xml:space="preserve"> (cell C124) </t>
    </r>
    <r>
      <rPr>
        <b/>
        <sz val="9"/>
        <rFont val="Calibri"/>
        <family val="2"/>
      </rPr>
      <t>may exceed the figure</t>
    </r>
    <r>
      <rPr>
        <sz val="9"/>
        <rFont val="Calibri"/>
        <family val="2"/>
      </rPr>
      <t xml:space="preserve"> given in 9.1 "Total no. carried out" (cell E124-I124).
</t>
    </r>
  </si>
  <si>
    <t>9.3a to 9.5</t>
  </si>
  <si>
    <t xml:space="preserve">User induction </t>
  </si>
  <si>
    <t>This section has been re-focussed to explore how embedded an LKS is within an organisation(s) and its induction programme.</t>
  </si>
  <si>
    <r>
      <t>User induction:</t>
    </r>
    <r>
      <rPr>
        <sz val="9"/>
        <rFont val="Calibri"/>
        <family val="2"/>
      </rPr>
      <t xml:space="preserve"> this can also be called user orientation or library orientation. Its purpose is to introduce new library users/prospective library users to the services and/or facilities that a library service can offer them. It would normally include user registration but only if it also includes a tour of the library and/or an introduction to/overview of the services/facilities by library staff.
User induction can be </t>
    </r>
    <r>
      <rPr>
        <b/>
        <sz val="9"/>
        <rFont val="Calibri"/>
        <family val="2"/>
      </rPr>
      <t xml:space="preserve">1-1 or group </t>
    </r>
    <r>
      <rPr>
        <sz val="9"/>
        <rFont val="Calibri"/>
        <family val="2"/>
      </rPr>
      <t xml:space="preserve">and can be </t>
    </r>
    <r>
      <rPr>
        <b/>
        <sz val="9"/>
        <rFont val="Calibri"/>
        <family val="2"/>
      </rPr>
      <t>formal or informal/ad hoc.</t>
    </r>
  </si>
  <si>
    <t xml:space="preserve">DEFINITION </t>
  </si>
  <si>
    <r>
      <t xml:space="preserve">"Take part" INCLUDES:
*  formal presentations </t>
    </r>
    <r>
      <rPr>
        <sz val="9"/>
        <rFont val="Calibri"/>
        <family val="2"/>
      </rPr>
      <t xml:space="preserve">made by either LKS staff or someone else on behalf of the LKS
*  </t>
    </r>
    <r>
      <rPr>
        <b/>
        <sz val="9"/>
        <rFont val="Calibri"/>
        <family val="2"/>
      </rPr>
      <t>rolling LKS presentation</t>
    </r>
    <r>
      <rPr>
        <sz val="9"/>
        <rFont val="Calibri"/>
        <family val="2"/>
      </rPr>
      <t xml:space="preserve"> that plays on large screen</t>
    </r>
    <r>
      <rPr>
        <b/>
        <sz val="9"/>
        <rFont val="Calibri"/>
        <family val="2"/>
      </rPr>
      <t xml:space="preserve">
* </t>
    </r>
    <r>
      <rPr>
        <sz val="9"/>
        <rFont val="Calibri"/>
        <family val="2"/>
      </rPr>
      <t xml:space="preserve"> provision of LKS marketing materials for a </t>
    </r>
    <r>
      <rPr>
        <b/>
        <sz val="9"/>
        <rFont val="Calibri"/>
        <family val="2"/>
      </rPr>
      <t xml:space="preserve">corporate induction "pack"
*  </t>
    </r>
    <r>
      <rPr>
        <sz val="9"/>
        <rFont val="Calibri"/>
        <family val="2"/>
      </rPr>
      <t>staffing a</t>
    </r>
    <r>
      <rPr>
        <b/>
        <sz val="9"/>
        <rFont val="Calibri"/>
        <family val="2"/>
      </rPr>
      <t xml:space="preserve"> stand in the "market place"
*  </t>
    </r>
    <r>
      <rPr>
        <sz val="9"/>
        <rFont val="Calibri"/>
        <family val="2"/>
      </rPr>
      <t>a dedicated</t>
    </r>
    <r>
      <rPr>
        <b/>
        <sz val="9"/>
        <rFont val="Calibri"/>
        <family val="2"/>
      </rPr>
      <t xml:space="preserve"> LKS e-learning package
*  </t>
    </r>
    <r>
      <rPr>
        <sz val="9"/>
        <rFont val="Calibri"/>
        <family val="2"/>
      </rPr>
      <t>an</t>
    </r>
    <r>
      <rPr>
        <b/>
        <sz val="9"/>
        <rFont val="Calibri"/>
        <family val="2"/>
      </rPr>
      <t xml:space="preserve"> e-learning package </t>
    </r>
    <r>
      <rPr>
        <sz val="9"/>
        <rFont val="Calibri"/>
        <family val="2"/>
      </rPr>
      <t xml:space="preserve">that includes information about the LKS (e.g. as part of a larger department such as learning and development) 
*  library-based </t>
    </r>
    <r>
      <rPr>
        <b/>
        <sz val="9"/>
        <rFont val="Calibri"/>
        <family val="2"/>
      </rPr>
      <t>tours</t>
    </r>
    <r>
      <rPr>
        <sz val="9"/>
        <rFont val="Calibri"/>
        <family val="2"/>
      </rPr>
      <t>/introduction to the library facilities (often on a 1:1 basis and ad hoc). This may also be provided via the phone or email (e.g. for virtual services).</t>
    </r>
  </si>
  <si>
    <t>9.3a
SCOPE</t>
  </si>
  <si>
    <r>
      <t xml:space="preserve">Corporate/organisational </t>
    </r>
    <r>
      <rPr>
        <sz val="9"/>
        <rFont val="Calibri"/>
        <family val="2"/>
      </rPr>
      <t xml:space="preserve">means regular sessions which are </t>
    </r>
    <r>
      <rPr>
        <b/>
        <sz val="9"/>
        <rFont val="Calibri"/>
        <family val="2"/>
      </rPr>
      <t>mandatory for all new staff</t>
    </r>
    <r>
      <rPr>
        <sz val="9"/>
        <rFont val="Calibri"/>
        <family val="2"/>
      </rPr>
      <t xml:space="preserve"> so they have a basic portfolio of general knowledge about the organisation to enable them to understand the requirements of their job and to develop a wider understanding of the organisation in which they work and to ensure that the minimum health and safety requirements are met, prior to commencement of duties.
</t>
    </r>
  </si>
  <si>
    <t>9.3b to 9.3e</t>
  </si>
  <si>
    <r>
      <t xml:space="preserve">If your organisation does not have staff in these staff groups then please </t>
    </r>
    <r>
      <rPr>
        <b/>
        <sz val="9"/>
        <rFont val="Calibri"/>
        <family val="2"/>
      </rPr>
      <t>use NA for Not Applicable.</t>
    </r>
  </si>
  <si>
    <r>
      <rPr>
        <b/>
        <sz val="9"/>
        <rFont val="Calibri"/>
        <family val="2"/>
      </rPr>
      <t>Other INCLUDE</t>
    </r>
    <r>
      <rPr>
        <sz val="9"/>
        <rFont val="Calibri"/>
        <family val="2"/>
      </rPr>
      <t xml:space="preserve"> all other staff groups not included in 9.3b to 9.3d e.g. Allied Health Professionals (AHPs). Please</t>
    </r>
    <r>
      <rPr>
        <b/>
        <sz val="9"/>
        <rFont val="Calibri"/>
        <family val="2"/>
      </rPr>
      <t xml:space="preserve"> list them in comments.</t>
    </r>
  </si>
  <si>
    <t>9.5
SCOPE</t>
  </si>
  <si>
    <r>
      <t xml:space="preserve">This looks at reach. 
Count here any of the </t>
    </r>
    <r>
      <rPr>
        <b/>
        <sz val="9"/>
        <rFont val="Calibri"/>
        <family val="2"/>
      </rPr>
      <t>organisations listed in C</t>
    </r>
    <r>
      <rPr>
        <sz val="9"/>
        <rFont val="Calibri"/>
        <family val="2"/>
      </rPr>
      <t xml:space="preserve"> for which you provide any type of induction as listed in 9.3a to 9.3e.
e.g. if you provide to 5 organisations and run corporate and junior doctor inductions at 2 and nursing inductions at 1 then record 4 in cell C138 
alternatively if you provide inductions at 3 of those organisations then record 3 in cell C138.</t>
    </r>
  </si>
  <si>
    <r>
      <t xml:space="preserve">If you </t>
    </r>
    <r>
      <rPr>
        <b/>
        <sz val="9"/>
        <rFont val="Calibri"/>
        <family val="2"/>
      </rPr>
      <t>do not provide inductions</t>
    </r>
    <r>
      <rPr>
        <sz val="9"/>
        <rFont val="Calibri"/>
        <family val="2"/>
      </rPr>
      <t xml:space="preserve"> for all the organisations you serve </t>
    </r>
    <r>
      <rPr>
        <b/>
        <sz val="9"/>
        <rFont val="Calibri"/>
        <family val="2"/>
      </rPr>
      <t>please supply comments</t>
    </r>
    <r>
      <rPr>
        <sz val="9"/>
        <rFont val="Calibri"/>
        <family val="2"/>
      </rPr>
      <t xml:space="preserve">  e.g. not required by SLA, no opportunity to due to time constraints.</t>
    </r>
  </si>
  <si>
    <r>
      <t xml:space="preserve">9.6 </t>
    </r>
    <r>
      <rPr>
        <b/>
        <sz val="9"/>
        <color rgb="FFFF0000"/>
        <rFont val="Calibri"/>
        <family val="2"/>
      </rPr>
      <t>New</t>
    </r>
  </si>
  <si>
    <r>
      <rPr>
        <b/>
        <sz val="9"/>
        <color rgb="FFFF0000"/>
        <rFont val="Calibri"/>
        <family val="2"/>
      </rPr>
      <t>DEFINITION:</t>
    </r>
    <r>
      <rPr>
        <sz val="9"/>
        <rFont val="Calibri"/>
        <family val="2"/>
      </rPr>
      <t xml:space="preserve"> Health Literacy. The personal characteristics and social resources needed for individuals and communities to access, understand, appraise and use information and services to make decisions about Health Literacy 
INCLUDES both 1:1 and group sessions (either formal or informal/ad-hoc) </t>
    </r>
    <r>
      <rPr>
        <b/>
        <sz val="9"/>
        <rFont val="Calibri"/>
        <family val="2"/>
      </rPr>
      <t xml:space="preserve">SEE </t>
    </r>
    <r>
      <rPr>
        <b/>
        <sz val="9"/>
        <color rgb="FFFF0000"/>
        <rFont val="Calibri"/>
        <family val="2"/>
      </rPr>
      <t>DEFINITION</t>
    </r>
    <r>
      <rPr>
        <b/>
        <sz val="9"/>
        <rFont val="Calibri"/>
        <family val="2"/>
      </rPr>
      <t xml:space="preserve"> IN 9.1 AND 9.2</t>
    </r>
  </si>
  <si>
    <t>Section 10 : CURRENT AWARENESS/HORIZON SCANNING/ALERTING SERVICES</t>
  </si>
  <si>
    <t>Current Awareness and Alerting Services</t>
  </si>
  <si>
    <r>
      <t xml:space="preserve">For each type of current awareness/alerting service, you are asked to distinguish between </t>
    </r>
    <r>
      <rPr>
        <b/>
        <sz val="9"/>
        <rFont val="Calibri"/>
        <family val="2"/>
      </rPr>
      <t xml:space="preserve">three </t>
    </r>
    <r>
      <rPr>
        <sz val="9"/>
        <rFont val="Calibri"/>
        <family val="2"/>
      </rPr>
      <t>levels of input.  
For each type please use 1 to indicate that you do this.  You may put a ‘1’ in more than one column.</t>
    </r>
  </si>
  <si>
    <t xml:space="preserve">DEFINITIONS </t>
  </si>
  <si>
    <r>
      <rPr>
        <sz val="9"/>
        <rFont val="Calibri"/>
        <family val="2"/>
      </rPr>
      <t xml:space="preserve">CAS/alerts that you </t>
    </r>
    <r>
      <rPr>
        <b/>
        <sz val="9"/>
        <rFont val="Calibri"/>
        <family val="2"/>
      </rPr>
      <t>modify</t>
    </r>
    <r>
      <rPr>
        <sz val="9"/>
        <rFont val="Calibri"/>
        <family val="2"/>
      </rPr>
      <t xml:space="preserve"> would include instances where you take a CAS or alert and edit the content or reformat it to suit your users.</t>
    </r>
  </si>
  <si>
    <r>
      <t xml:space="preserve">CAS/alerts that you </t>
    </r>
    <r>
      <rPr>
        <b/>
        <sz val="9"/>
        <rFont val="Calibri"/>
        <family val="2"/>
      </rPr>
      <t>modify or contribute to</t>
    </r>
    <r>
      <rPr>
        <sz val="9"/>
        <rFont val="Calibri"/>
        <family val="2"/>
      </rPr>
      <t xml:space="preserve"> would include instances where your library collaborates in the production of a bulletin/alert </t>
    </r>
    <r>
      <rPr>
        <u/>
        <sz val="9"/>
        <rFont val="Calibri"/>
        <family val="2"/>
      </rPr>
      <t>or</t>
    </r>
    <r>
      <rPr>
        <sz val="9"/>
        <rFont val="Calibri"/>
        <family val="2"/>
      </rPr>
      <t xml:space="preserve"> you take a bulletin/alert and edit the content or reformat it to suit your users. Enter a ‘1’ if you use collaborative scheme (e.g. CASH). 
</t>
    </r>
    <r>
      <rPr>
        <b/>
        <sz val="9"/>
        <color rgb="FFFF0000"/>
        <rFont val="Calibri"/>
        <family val="2"/>
      </rPr>
      <t>EXCLUDES</t>
    </r>
    <r>
      <rPr>
        <sz val="9"/>
        <rFont val="Calibri"/>
        <family val="2"/>
      </rPr>
      <t xml:space="preserve"> adding your organisation’s logo and an acknowledgement, count this as ‘circulate from another provider’.</t>
    </r>
  </si>
  <si>
    <r>
      <t xml:space="preserve">Circulate from another provider: </t>
    </r>
    <r>
      <rPr>
        <sz val="9"/>
        <rFont val="Calibri"/>
        <family val="2"/>
      </rPr>
      <t xml:space="preserve">instances where you receive CAS/alerts, make no changes to the content, and send/forward them to users via say a distribution list. 
</t>
    </r>
    <r>
      <rPr>
        <b/>
        <sz val="9"/>
        <rFont val="Calibri"/>
        <family val="2"/>
      </rPr>
      <t>Includes</t>
    </r>
    <r>
      <rPr>
        <sz val="9"/>
        <rFont val="Calibri"/>
        <family val="2"/>
      </rPr>
      <t xml:space="preserve"> adding a logo and acknowledgement but not making any changes to the content.</t>
    </r>
  </si>
  <si>
    <t>10.1a to 10.1e</t>
  </si>
  <si>
    <t>This includes some of the main categories of current awareness services/alerting services that libraries may use.</t>
  </si>
  <si>
    <t>10.1e</t>
  </si>
  <si>
    <r>
      <rPr>
        <b/>
        <sz val="9"/>
        <rFont val="Calibri"/>
        <family val="2"/>
      </rPr>
      <t>"Horizon scanning"</t>
    </r>
    <r>
      <rPr>
        <sz val="9"/>
        <rFont val="Calibri"/>
        <family val="2"/>
      </rPr>
      <t>: identifying potentially important developments through a systematic examination of the evidence base for potential opportunities and threats.</t>
    </r>
  </si>
  <si>
    <r>
      <rPr>
        <b/>
        <sz val="9"/>
        <rFont val="Calibri"/>
        <family val="2"/>
      </rPr>
      <t>“Other”</t>
    </r>
    <r>
      <rPr>
        <sz val="9"/>
        <rFont val="Calibri"/>
        <family val="2"/>
      </rPr>
      <t xml:space="preserve"> if you routinely deliver a service you feel does not fall in types a - e then please use a 1 here and add a comment.</t>
    </r>
  </si>
  <si>
    <t>Section 11 (was 12):  COLLABORATIVE PURCHASING</t>
  </si>
  <si>
    <t>A collaborative purchasing scheme is one where a service contributes a proportion of the overall cost of the items (i.e. books or journals) purchased.</t>
  </si>
  <si>
    <r>
      <rPr>
        <b/>
        <sz val="9"/>
        <rFont val="Calibri"/>
        <family val="2"/>
      </rPr>
      <t xml:space="preserve">Database </t>
    </r>
    <r>
      <rPr>
        <sz val="9"/>
        <rFont val="Calibri"/>
        <family val="2"/>
      </rPr>
      <t>collaborative purchasing:</t>
    </r>
    <r>
      <rPr>
        <b/>
        <sz val="9"/>
        <rFont val="Calibri"/>
        <family val="2"/>
      </rPr>
      <t xml:space="preserve"> INCLUDE </t>
    </r>
    <r>
      <rPr>
        <sz val="9"/>
        <rFont val="Calibri"/>
        <family val="2"/>
      </rPr>
      <t xml:space="preserve">full-text databases here and </t>
    </r>
    <r>
      <rPr>
        <b/>
        <sz val="9"/>
        <rFont val="Calibri"/>
        <family val="2"/>
      </rPr>
      <t>INCLUDE</t>
    </r>
    <r>
      <rPr>
        <sz val="9"/>
        <rFont val="Calibri"/>
        <family val="2"/>
      </rPr>
      <t xml:space="preserve"> ClinicalKey.</t>
    </r>
  </si>
  <si>
    <r>
      <t xml:space="preserve">Point of care </t>
    </r>
    <r>
      <rPr>
        <sz val="9"/>
        <rFont val="Calibri"/>
        <family val="2"/>
      </rPr>
      <t xml:space="preserve">collaborative purchasing: "web-based medical compendia specifically designed to deliver pre-digested, rapidly accessible, comprehensive, periodically updated, and evidence-based information (and possibly also guidance) to clinicians."
</t>
    </r>
    <r>
      <rPr>
        <b/>
        <sz val="9"/>
        <rFont val="Calibri"/>
        <family val="2"/>
      </rPr>
      <t>INCLUDES</t>
    </r>
    <r>
      <rPr>
        <sz val="9"/>
        <rFont val="Calibri"/>
        <family val="2"/>
      </rPr>
      <t xml:space="preserve"> DynaMed, Up to Date. EXCLUDES: ClinicalKey use </t>
    </r>
    <r>
      <rPr>
        <b/>
        <sz val="9"/>
        <color rgb="FF0000FF"/>
        <rFont val="Calibri"/>
        <family val="2"/>
      </rPr>
      <t>11.2c</t>
    </r>
    <r>
      <rPr>
        <sz val="9"/>
        <rFont val="Calibri"/>
        <family val="2"/>
      </rPr>
      <t xml:space="preserve"> instead.</t>
    </r>
  </si>
  <si>
    <t>HEE_Local_Office</t>
  </si>
  <si>
    <t>East Midlands</t>
  </si>
  <si>
    <t>East of England</t>
  </si>
  <si>
    <t>Kent, Surrey and Sussex</t>
  </si>
  <si>
    <t>London</t>
  </si>
  <si>
    <t>North East</t>
  </si>
  <si>
    <t>North West</t>
  </si>
  <si>
    <t>South West</t>
  </si>
  <si>
    <t>Thames Valley</t>
  </si>
  <si>
    <t>Wessex</t>
  </si>
  <si>
    <t>West Midlands</t>
  </si>
  <si>
    <t>Yorks. and the Humber</t>
  </si>
  <si>
    <t>East_Midlands</t>
  </si>
  <si>
    <t>Chesterfield Royal Hospital Foundation Trust</t>
  </si>
  <si>
    <t>Bedfordshire Hospitals NHS Foundation Trust</t>
  </si>
  <si>
    <t>Ashford and St Peter's Hospitals NHS Foundation Trust</t>
  </si>
  <si>
    <t>Barking, Havering and Redbridge University Hospitals NHS Trust</t>
  </si>
  <si>
    <t>County Durham and Darlington NHS Foundation Trust</t>
  </si>
  <si>
    <t>Alder Hey Children's NHS Foundation Trust</t>
  </si>
  <si>
    <t>Avon and Wiltshire Mental Health Partnership NHS Trust</t>
  </si>
  <si>
    <t>Berkshire Healthcare NHS Foundation Trust</t>
  </si>
  <si>
    <t>Dorset County Hospital NHS Foundation Trust</t>
  </si>
  <si>
    <t>Birmingham and Solihull Mental Health NHS Foundation Trust</t>
  </si>
  <si>
    <t>Airedale NHS Foundation Trust</t>
  </si>
  <si>
    <t>East_of_England</t>
  </si>
  <si>
    <t>Derbyshire Healthcare NHS Foundation Trust</t>
  </si>
  <si>
    <t>Cambridge University Hospitals NHS Foundation Trust</t>
  </si>
  <si>
    <t>Brighton and Sussex University Hospitals NHS Trust</t>
  </si>
  <si>
    <t>Barnet, Enfield and Haringey Mental Health NHS Trust</t>
  </si>
  <si>
    <t>Cumbria, Northumberland, Tyne and Wear NHS Foundation Trust</t>
  </si>
  <si>
    <t>Blackpool Teaching Hospitals NHS Foundation Trust</t>
  </si>
  <si>
    <t>Buckinghamshire Healthcare NHS Trust</t>
  </si>
  <si>
    <t>Hampshire Hospitals NHS Foundation Trust</t>
  </si>
  <si>
    <t>Birmingham Community Healthcare NHS FT</t>
  </si>
  <si>
    <t>Barnsley Hospital NHS Foundation Trust</t>
  </si>
  <si>
    <t>Kent__Surrey_and_Sussex</t>
  </si>
  <si>
    <t>Kettering General Hospital NHS Foundation Trust</t>
  </si>
  <si>
    <t>Cambridgeshire and Peterborough NHS Foundation Trust</t>
  </si>
  <si>
    <t>Dartford and Gravesham NHS Trust</t>
  </si>
  <si>
    <t>Barts Health NHS Trust</t>
  </si>
  <si>
    <t>Gateshead Health NHS Foundation Trust</t>
  </si>
  <si>
    <t>Bolton NHS Foundation Trust</t>
  </si>
  <si>
    <t xml:space="preserve">Gloucestershire Health and Care NHS FT </t>
  </si>
  <si>
    <t>Frimley Health NHS Foundation Trust</t>
  </si>
  <si>
    <t>Isle of Wight NHS Trust</t>
  </si>
  <si>
    <t>Birmingham Women's and Children's NHS FT</t>
  </si>
  <si>
    <t>Bradford District Care NHS Foundation Trust</t>
  </si>
  <si>
    <t>Northamptonshire Healthcare NHS Foundation Trust</t>
  </si>
  <si>
    <t>East and North Hertfordshire NHS Trust</t>
  </si>
  <si>
    <t>East Kent Hospitals University NHS Foundation Trust</t>
  </si>
  <si>
    <t>Central and North West London NHS Foundation Trust</t>
  </si>
  <si>
    <t>Newcastle upon Tyne Hospitals NHS Foundation Trust</t>
  </si>
  <si>
    <t>Bridgewater Community Healthcare NHS Foundation Trust</t>
  </si>
  <si>
    <t>Gloucestershire Hospitals NHS Foundation Trust</t>
  </si>
  <si>
    <t>Portsmouth Hospitals NHS Trust</t>
  </si>
  <si>
    <t>Black Country Healthcare NHS Foundation Trust</t>
  </si>
  <si>
    <t>Bradford Teaching Hospitals NHS Foundation Trust</t>
  </si>
  <si>
    <t>North_East</t>
  </si>
  <si>
    <t>Nottingham University Hospitals Trust</t>
  </si>
  <si>
    <t>East Anglia's Children's Hospices (EACH)</t>
  </si>
  <si>
    <t>East Sussex Healthcare NHS Trust</t>
  </si>
  <si>
    <t>Chelsea and Westminster Hospital NHS Foundation Trust</t>
  </si>
  <si>
    <t>North Cumbria Integrated Care NHS Trust</t>
  </si>
  <si>
    <t>Cheshire and Wirral Partnership NHS Foundation Trust</t>
  </si>
  <si>
    <t>Great Western Hospitals NHS Foundation Trust</t>
  </si>
  <si>
    <t>Milton Keynes University Hospital NHS Foundation Trust</t>
  </si>
  <si>
    <t>University Hospital Southampton NHS Foundation Trust</t>
  </si>
  <si>
    <t>Coventry &amp; Warwickshire Partnership Trust</t>
  </si>
  <si>
    <t>Calderdale and Huddersfield NHS Foundation Trust</t>
  </si>
  <si>
    <t>North_West</t>
  </si>
  <si>
    <t>Nottinghamshire Healthcare NHS Foundation Trust</t>
  </si>
  <si>
    <t>East Suffolk and North Essex NHS Foundation Trust</t>
  </si>
  <si>
    <t>Maidstone and Tunbridge Wells NHS Trust</t>
  </si>
  <si>
    <t>Croydon Health Services NHS Trust</t>
  </si>
  <si>
    <t>North Tees and Hartlepool Hospitals NHS Foundation Trust</t>
  </si>
  <si>
    <t>Countess of Chester Hospital NHS Foundation Trust</t>
  </si>
  <si>
    <t>North Bristol NHS Trust</t>
  </si>
  <si>
    <t>Oxford Health NHS Foundation Trust</t>
  </si>
  <si>
    <t>Dudley Group NHS Foundation Trust</t>
  </si>
  <si>
    <t>Doncaster and Bassetlaw Teaching Hospitals NHSFT</t>
  </si>
  <si>
    <t>South_West</t>
  </si>
  <si>
    <t>Sherwood Forest Hospitals NHS Foundation Trust</t>
  </si>
  <si>
    <t>Hertfordshire Partnership NHS Foundation Trust</t>
  </si>
  <si>
    <t>Medway NHS Foundation Trust</t>
  </si>
  <si>
    <t>Epsom and St Helier University Hospitals NHS Trust</t>
  </si>
  <si>
    <t>Northumbria Healthcare NHS Foundation Trust</t>
  </si>
  <si>
    <t>East Cheshire NHS Trust</t>
  </si>
  <si>
    <t>Northern Devon Healthcare NHS Trust</t>
  </si>
  <si>
    <t>Oxford University Hospitals NHS Foundation Trust</t>
  </si>
  <si>
    <t>Dudley Metropolitan Brough Council</t>
  </si>
  <si>
    <t>Harrogate and District NHS Foundation Trust</t>
  </si>
  <si>
    <t>Thames_Valley</t>
  </si>
  <si>
    <t>United Lincolnshire Hospital NHS Trust</t>
  </si>
  <si>
    <t>James Paget University Hospitals NHS Foundation Trust</t>
  </si>
  <si>
    <t>Queen Victoria Hospital NHS Foundation Trust</t>
  </si>
  <si>
    <t>Great Ormond Street Hospital for Children NHS Foundation Trust</t>
  </si>
  <si>
    <t>South Tees Hospitals NHS Foundation Trust</t>
  </si>
  <si>
    <t>East Lancashire Hospitals NHS Trust</t>
  </si>
  <si>
    <t>Royal Cornwall Hospitals NHS Trust</t>
  </si>
  <si>
    <t>Royal Berkshire NHS Foundation Trust</t>
  </si>
  <si>
    <t>George Eliot Hospital NHS Trust</t>
  </si>
  <si>
    <t>Hull University Teaching Hospitals NHS Trust</t>
  </si>
  <si>
    <t>University Hospitals of Derby and Burton NHS Foundation Trust</t>
  </si>
  <si>
    <t>Mid and South Essex NHS Foundation Trust</t>
  </si>
  <si>
    <t>Royal Surrey NHS Foundation Trust</t>
  </si>
  <si>
    <t>Guy's and St Thomas' NHS Foundation Trust</t>
  </si>
  <si>
    <t>South Tyneside and Sunderland NHS Foundation Trust</t>
  </si>
  <si>
    <t>Greater Manchester Mental Health NHS Foundation Trust</t>
  </si>
  <si>
    <t>Royal Devon and Exeter NHS Foundation Trust</t>
  </si>
  <si>
    <t>Midlands Partnership NHS Foundation Trust</t>
  </si>
  <si>
    <t>Leeds and York Partnership NHS Foundation Trust</t>
  </si>
  <si>
    <t>West_Midlands</t>
  </si>
  <si>
    <t>University Hospitals of Leicester NHS Trust</t>
  </si>
  <si>
    <t>Norfolk and Norwich University Hospital NHS Foundation Trust</t>
  </si>
  <si>
    <t>Surrey and Sussex Healthcare NHS Trust</t>
  </si>
  <si>
    <t>Homerton University Hospital NHS Foundation Trust</t>
  </si>
  <si>
    <t>Tees Esk and Wear Valleys NHS Foundation Trust</t>
  </si>
  <si>
    <t>Keyll Darree Isle of Man</t>
  </si>
  <si>
    <t>Royal United Hospital Bath NHS Foundation Trust</t>
  </si>
  <si>
    <t xml:space="preserve">NHS Blood and Transplant </t>
  </si>
  <si>
    <t>Leeds Community Healthcare NHS Trust</t>
  </si>
  <si>
    <t>Yorks._And_The_Humber</t>
  </si>
  <si>
    <t>Norfolk and Suffolk NHS Foundation Trust</t>
  </si>
  <si>
    <t>Western Sussex Hospitals NHS Foundation Trust</t>
  </si>
  <si>
    <t>Imperial College Healthcare NHS Trust</t>
  </si>
  <si>
    <t>Lancashire and South Cumbria NHS Foundation Trust</t>
  </si>
  <si>
    <t>Salisbury NHS Foundation Trust</t>
  </si>
  <si>
    <t>Robert Jones &amp; Agnes Hunt Orthopaedic Hospital NHS Foundation Trust</t>
  </si>
  <si>
    <t>Mid Yorkshire Hospitals NHS Trust</t>
  </si>
  <si>
    <t>North West Anglia NHS Foundation Trust</t>
  </si>
  <si>
    <t>King's College Hospital NHS Foundation Trust</t>
  </si>
  <si>
    <t>Somerset NHS Foundation Trust</t>
  </si>
  <si>
    <t>Royal Orthopaedic Hospital NHS Foundation Trust</t>
  </si>
  <si>
    <t>Northern Lincolnshire &amp; Goole NHS Foundation Trust</t>
  </si>
  <si>
    <t>Princess Alexandra Hospital NHS Trust</t>
  </si>
  <si>
    <t>King's College London</t>
  </si>
  <si>
    <t>Lancashire Teaching Hospitals NHS Foundation Trust</t>
  </si>
  <si>
    <t>Torbay and South Devon NHS Foundation Trust</t>
  </si>
  <si>
    <t>Royal Wolverhampton NHS Trust</t>
  </si>
  <si>
    <t>Sheffield Children's NHS Foundation Trust</t>
  </si>
  <si>
    <t>Royal Papworth Hospital NHS Foundation Trust</t>
  </si>
  <si>
    <t>Kingston Hospital NHS Foundation Trust</t>
  </si>
  <si>
    <t>Liverpool Heart and Chest Hospital NHS Foundation Trust</t>
  </si>
  <si>
    <t>University Hospitals Plymouth NHS Trust</t>
  </si>
  <si>
    <t>Sandwell and West Birmingham NHS Trust</t>
  </si>
  <si>
    <t>Sheffield Teaching Hospitals NHS Foundation Trust</t>
  </si>
  <si>
    <t>The Queen Elizabeth Hospital King's Lynn NHS Foundation Trust</t>
  </si>
  <si>
    <t>Lewisham and Greenwich NHS trust</t>
  </si>
  <si>
    <t>Liverpool University Hospitals NHS Foundation Trust</t>
  </si>
  <si>
    <t>University Hosptials Bristol and Weston NHS Foundation Trust</t>
  </si>
  <si>
    <t>Shrewsbury and Telford Hospital NHS Trust</t>
  </si>
  <si>
    <t>South West Yorkshire Partnership NHS Foundation Trust</t>
  </si>
  <si>
    <t>West Hertfordshire Hospitals NHS Trust</t>
  </si>
  <si>
    <t>London North West University Healthcare NHS Trust</t>
  </si>
  <si>
    <t>Liverpool Women's NHS Foundation Trust</t>
  </si>
  <si>
    <t>Yeovil District Hospital NHS Foundation Trust</t>
  </si>
  <si>
    <t>South Warwickshire NHS Foundation Trust</t>
  </si>
  <si>
    <t>The Leeds Teaching Hospitals NHS Trust</t>
  </si>
  <si>
    <t>West Suffolk NHS Foundation Trust</t>
  </si>
  <si>
    <t>Moorfields Eye Hospital NHS Foundation Trust</t>
  </si>
  <si>
    <t>Manchester University NHS Foundation Trust</t>
  </si>
  <si>
    <t xml:space="preserve">University Hospitals Birmingham NHS Foundation Trust </t>
  </si>
  <si>
    <t>The Rotherham NHS Foundation Trust</t>
  </si>
  <si>
    <t>North East London NHS Foundation Trust</t>
  </si>
  <si>
    <t>Mersey Care NHS Foundation Trust</t>
  </si>
  <si>
    <t>University Hospitals Coventry &amp; Warwickshire NHS Trust</t>
  </si>
  <si>
    <t>York Teaching Hospital NHS Foundation Trust</t>
  </si>
  <si>
    <t>North Middlesex University Hospital NHS Trust</t>
  </si>
  <si>
    <t>Mid Cheshire Hospitals NHS Foundation Trust</t>
  </si>
  <si>
    <t>University Hospitals of North Midlands NHS Trust</t>
  </si>
  <si>
    <t>Oxleas NHS Foundation Trust</t>
  </si>
  <si>
    <t>North West Ambulance Service NHS Trust</t>
  </si>
  <si>
    <t>Walsall Healthcare NHS Trust</t>
  </si>
  <si>
    <t>Royal Brompton and Harefield NHS Foundation Trust</t>
  </si>
  <si>
    <t>North West Boroughs Healthcare NHS Foundation Trust</t>
  </si>
  <si>
    <t>Worcestershire Acute Hospitals NHS Trust</t>
  </si>
  <si>
    <t>Royal Free London NHS Foundation Trust</t>
  </si>
  <si>
    <t>Pennine Acute Hospitals NHS Trust - Northern Care Alliance</t>
  </si>
  <si>
    <t>Wye Valley NHS Trust</t>
  </si>
  <si>
    <t>Royal Marsden NHS Foundation Trust</t>
  </si>
  <si>
    <t>Pennine Care NHS Foundation Trust</t>
  </si>
  <si>
    <t>Royal National Orthopaedic Hospital NHS Trust</t>
  </si>
  <si>
    <t>Salford Royal NHS Foundation Trust - Northern Care Alliance</t>
  </si>
  <si>
    <t>South London and Maudsley NHS Foundation Trust</t>
  </si>
  <si>
    <t>Southport and Ormskirk Hospital NHS Trust</t>
  </si>
  <si>
    <t>South West London and St George's Mental Health NHS Trust</t>
  </si>
  <si>
    <t>St Helens and Knowsley Teaching Hospitals NHS Trust</t>
  </si>
  <si>
    <t>St George's University Hospitals Foundation NHS Trust</t>
  </si>
  <si>
    <t>Stockport NHS Foundation Trust</t>
  </si>
  <si>
    <t>The Hillingdon Hospitals NHS Foundation Trust</t>
  </si>
  <si>
    <t>Tameside and Glossop Integrated Care NHS Foundation Trust</t>
  </si>
  <si>
    <t>University College London Hospitals NHS Foundation Trust</t>
  </si>
  <si>
    <t>The Christie NHS Foundation Trust</t>
  </si>
  <si>
    <t xml:space="preserve">West London NHS Trust </t>
  </si>
  <si>
    <t>University Hospitals of Morecambe Bay NHS Foundation Trust</t>
  </si>
  <si>
    <t>Whittington Health NHS Trust</t>
  </si>
  <si>
    <t>Warrington and Halton Teaching Hospitals NHS Foundation Trust</t>
  </si>
  <si>
    <t>Wirral University Teaching Hospital NHS Foundation Trust</t>
  </si>
  <si>
    <t>Wrightington, Wigan and Leigh NHS Foundation Trust</t>
  </si>
  <si>
    <t>VERSION CONTROL</t>
  </si>
  <si>
    <t>HEE local office</t>
  </si>
  <si>
    <t>Category</t>
  </si>
  <si>
    <t>Version</t>
  </si>
  <si>
    <t>Form content</t>
  </si>
  <si>
    <t>Linda Ferguson</t>
  </si>
  <si>
    <t>Form structure</t>
  </si>
  <si>
    <t>Formulae</t>
  </si>
  <si>
    <t>Guidance</t>
  </si>
  <si>
    <t>Website links</t>
  </si>
  <si>
    <t>User gp document</t>
  </si>
  <si>
    <t>Thames Valley/Wessex</t>
  </si>
  <si>
    <t>Data validation</t>
  </si>
  <si>
    <t>SECTOR</t>
  </si>
  <si>
    <t>NHS    </t>
  </si>
  <si>
    <t>Joint NHS/HE</t>
  </si>
  <si>
    <t>Versions:</t>
  </si>
  <si>
    <t>Draft</t>
  </si>
  <si>
    <t>HE provided</t>
  </si>
  <si>
    <t>For information</t>
  </si>
  <si>
    <t>Local authority provided</t>
  </si>
  <si>
    <t>Final</t>
  </si>
  <si>
    <t>To issue</t>
  </si>
  <si>
    <t>TYPE</t>
  </si>
  <si>
    <t>Acute</t>
  </si>
  <si>
    <t>Acute &amp; Community</t>
  </si>
  <si>
    <t>Ambulance</t>
  </si>
  <si>
    <t>Arm's Length Body (e.g. NHS England, Public Health England)</t>
  </si>
  <si>
    <t>Care Trust</t>
  </si>
  <si>
    <t>Clinical Commissioning Group</t>
  </si>
  <si>
    <t>Commissioning Support</t>
  </si>
  <si>
    <t>Community Trust</t>
  </si>
  <si>
    <t>GPs</t>
  </si>
  <si>
    <t>Higher Education Institution</t>
  </si>
  <si>
    <t>Integrated Care Service/Organisation</t>
  </si>
  <si>
    <t>Learning Disability</t>
  </si>
  <si>
    <t>Local Authority (exc. PH staff)</t>
  </si>
  <si>
    <t>Mental Health</t>
  </si>
  <si>
    <t>Mental Health/Learning Disability</t>
  </si>
  <si>
    <t>Mental Health/Social Care</t>
  </si>
  <si>
    <t>Primary Care - Provider (exc. GPs)</t>
  </si>
  <si>
    <t>Private, Independent &amp; Voluntary (inc. Charities)</t>
  </si>
  <si>
    <t>Public Health</t>
  </si>
  <si>
    <t>Social Care</t>
  </si>
  <si>
    <t>Other (please specify in comments)</t>
  </si>
  <si>
    <t>PERIOD</t>
  </si>
  <si>
    <t>1 April 2021 to 31 March 2022</t>
  </si>
  <si>
    <t xml:space="preserve">Did you make a Cost Improvement/Cost Saving against your 2020-2021 budget i.e. a reduction in your 2021-2022 budget?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</si>
</sst>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quot;£&quot;#,##0.00"/>
    <numFmt numFmtId="165" formatCode="dd/mm/yy;@"/>
    <numFmt numFmtId="166" formatCode="0.0"/>
    <numFmt numFmtId="167" formatCode="0\ &quot;Named  organisations recorded&quot;"/>
    <numFmt numFmtId="168" formatCode="0\ &quot; Type of organisation(s) recorded&quot;"/>
    <numFmt numFmtId="169" formatCode="0\ &quot;Other type or annotations recorded&quot;"/>
    <numFmt numFmtId="170" formatCode="0\ &quot;Unrecorded Staff Types&quot;"/>
    <numFmt numFmtId="171" formatCode="0\ &quot;Unrecorded ESR Staff Groups&quot;"/>
    <numFmt numFmtId="172" formatCode="0\ &quot;UnrecordedNon-ESR Staff Types&quot;"/>
    <numFmt numFmtId="173" formatCode="&quot;Subtotal = &quot;\ 0"/>
    <numFmt numFmtId="174" formatCode="0\ \ &quot; Entries completed&quot;"/>
    <numFmt numFmtId="175" formatCode="0\ \ &quot;Ed/Training  Entries completed&quot;"/>
    <numFmt numFmtId="176" formatCode="0\ \ &quot;Induction Entries&quot;"/>
    <numFmt numFmtId="177" formatCode="&quot;Below Row &quot;\ 0"/>
  </numFmts>
  <fonts count="82" x14ac:knownFonts="1">
    <font>
      <sz val="10"/>
      <name val="Arial"/>
    </font>
    <font>
      <sz val="8"/>
      <color indexed="81"/>
      <name val="Tahoma"/>
      <family val="2"/>
    </font>
    <font>
      <b/>
      <sz val="8"/>
      <color indexed="81"/>
      <name val="Tahoma"/>
      <family val="2"/>
    </font>
    <font>
      <u/>
      <sz val="9"/>
      <color indexed="12"/>
      <name val="Helv"/>
    </font>
    <font>
      <sz val="10"/>
      <name val="Arial"/>
      <family val="2"/>
    </font>
    <font>
      <b/>
      <sz val="10"/>
      <name val="Calibri"/>
      <family val="2"/>
    </font>
    <font>
      <b/>
      <sz val="10"/>
      <color indexed="17"/>
      <name val="Calibri"/>
      <family val="2"/>
    </font>
    <font>
      <sz val="10"/>
      <name val="Calibri"/>
      <family val="2"/>
    </font>
    <font>
      <b/>
      <sz val="10"/>
      <color indexed="10"/>
      <name val="Calibri"/>
      <family val="2"/>
    </font>
    <font>
      <sz val="10"/>
      <color indexed="14"/>
      <name val="Calibri"/>
      <family val="2"/>
    </font>
    <font>
      <b/>
      <u/>
      <sz val="10"/>
      <color indexed="12"/>
      <name val="Calibri"/>
      <family val="2"/>
    </font>
    <font>
      <sz val="10"/>
      <color indexed="8"/>
      <name val="Calibri"/>
      <family val="2"/>
    </font>
    <font>
      <b/>
      <sz val="10"/>
      <color indexed="14"/>
      <name val="Calibri"/>
      <family val="2"/>
    </font>
    <font>
      <b/>
      <sz val="10"/>
      <color indexed="8"/>
      <name val="Calibri"/>
      <family val="2"/>
    </font>
    <font>
      <sz val="10"/>
      <color indexed="12"/>
      <name val="Calibri"/>
      <family val="2"/>
    </font>
    <font>
      <sz val="10"/>
      <color indexed="10"/>
      <name val="Calibri"/>
      <family val="2"/>
    </font>
    <font>
      <b/>
      <sz val="10"/>
      <color indexed="12"/>
      <name val="Calibri"/>
      <family val="2"/>
    </font>
    <font>
      <sz val="10"/>
      <color indexed="17"/>
      <name val="Calibri"/>
      <family val="2"/>
    </font>
    <font>
      <sz val="8"/>
      <name val="Arial"/>
      <family val="2"/>
    </font>
    <font>
      <b/>
      <u/>
      <sz val="10"/>
      <name val="Calibri"/>
      <family val="2"/>
    </font>
    <font>
      <sz val="9"/>
      <color indexed="81"/>
      <name val="Tahoma"/>
      <family val="2"/>
    </font>
    <font>
      <b/>
      <sz val="10"/>
      <color rgb="FF0000FF"/>
      <name val="Calibri"/>
      <family val="2"/>
      <scheme val="minor"/>
    </font>
    <font>
      <b/>
      <sz val="10"/>
      <color rgb="FFFF6600"/>
      <name val="Calibri"/>
      <family val="2"/>
    </font>
    <font>
      <sz val="10"/>
      <name val="Calibri"/>
      <family val="2"/>
      <scheme val="minor"/>
    </font>
    <font>
      <b/>
      <sz val="10"/>
      <name val="Calibri"/>
      <family val="2"/>
      <scheme val="minor"/>
    </font>
    <font>
      <b/>
      <sz val="10"/>
      <color rgb="FFFF0000"/>
      <name val="Calibri"/>
      <family val="2"/>
    </font>
    <font>
      <sz val="10"/>
      <color theme="1"/>
      <name val="Calibri"/>
      <family val="2"/>
    </font>
    <font>
      <b/>
      <sz val="10"/>
      <color rgb="FF008000"/>
      <name val="Calibri"/>
      <family val="2"/>
    </font>
    <font>
      <b/>
      <sz val="10"/>
      <color theme="9"/>
      <name val="Calibri"/>
      <family val="2"/>
    </font>
    <font>
      <b/>
      <sz val="10"/>
      <color rgb="FF0000FF"/>
      <name val="Calibri"/>
      <family val="2"/>
    </font>
    <font>
      <sz val="10"/>
      <color rgb="FFFF0000"/>
      <name val="Calibri"/>
      <family val="2"/>
    </font>
    <font>
      <b/>
      <sz val="10"/>
      <color theme="1"/>
      <name val="Calibri"/>
      <family val="2"/>
      <scheme val="minor"/>
    </font>
    <font>
      <b/>
      <sz val="9"/>
      <color indexed="81"/>
      <name val="Tahoma"/>
      <family val="2"/>
    </font>
    <font>
      <i/>
      <sz val="9"/>
      <color indexed="81"/>
      <name val="Tahoma"/>
      <family val="2"/>
    </font>
    <font>
      <sz val="9"/>
      <name val="Calibri"/>
      <family val="2"/>
    </font>
    <font>
      <b/>
      <sz val="9"/>
      <name val="Calibri"/>
      <family val="2"/>
    </font>
    <font>
      <b/>
      <sz val="9"/>
      <color indexed="10"/>
      <name val="Calibri"/>
      <family val="2"/>
    </font>
    <font>
      <b/>
      <sz val="10"/>
      <name val="Helv"/>
    </font>
    <font>
      <sz val="9"/>
      <color indexed="10"/>
      <name val="Calibri"/>
      <family val="2"/>
    </font>
    <font>
      <b/>
      <sz val="9"/>
      <color indexed="12"/>
      <name val="Calibri"/>
      <family val="2"/>
    </font>
    <font>
      <sz val="9"/>
      <color indexed="12"/>
      <name val="Calibri"/>
      <family val="2"/>
    </font>
    <font>
      <sz val="9"/>
      <color indexed="8"/>
      <name val="Calibri"/>
      <family val="2"/>
    </font>
    <font>
      <b/>
      <sz val="9"/>
      <color indexed="8"/>
      <name val="Calibri"/>
      <family val="2"/>
    </font>
    <font>
      <b/>
      <sz val="9"/>
      <color indexed="53"/>
      <name val="Calibri"/>
      <family val="2"/>
    </font>
    <font>
      <u/>
      <sz val="9"/>
      <color indexed="12"/>
      <name val="Calibri"/>
      <family val="2"/>
      <scheme val="minor"/>
    </font>
    <font>
      <b/>
      <sz val="9"/>
      <color indexed="17"/>
      <name val="Calibri"/>
      <family val="2"/>
    </font>
    <font>
      <b/>
      <u/>
      <sz val="9"/>
      <name val="Calibri"/>
      <family val="2"/>
    </font>
    <font>
      <b/>
      <sz val="9"/>
      <color rgb="FFFF6600"/>
      <name val="Calibri"/>
      <family val="2"/>
    </font>
    <font>
      <sz val="9"/>
      <color theme="1"/>
      <name val="Calibri"/>
      <family val="2"/>
    </font>
    <font>
      <u/>
      <sz val="9"/>
      <name val="Calibri"/>
      <family val="2"/>
    </font>
    <font>
      <b/>
      <sz val="9"/>
      <color rgb="FFFF0000"/>
      <name val="Calibri"/>
      <family val="2"/>
    </font>
    <font>
      <sz val="11"/>
      <color indexed="81"/>
      <name val="Tahoma"/>
      <family val="2"/>
    </font>
    <font>
      <sz val="11"/>
      <color indexed="81"/>
      <name val="Calibri"/>
      <family val="2"/>
      <scheme val="minor"/>
    </font>
    <font>
      <b/>
      <sz val="11"/>
      <color indexed="81"/>
      <name val="Calibri"/>
      <family val="2"/>
      <scheme val="minor"/>
    </font>
    <font>
      <b/>
      <sz val="9"/>
      <color theme="1"/>
      <name val="Calibri"/>
      <family val="2"/>
    </font>
    <font>
      <b/>
      <sz val="9"/>
      <color theme="9" tint="-0.249977111117893"/>
      <name val="Calibri"/>
      <family val="2"/>
    </font>
    <font>
      <b/>
      <sz val="9"/>
      <color rgb="FF0000FF"/>
      <name val="Calibri"/>
      <family val="2"/>
    </font>
    <font>
      <b/>
      <sz val="16"/>
      <color rgb="FF008000"/>
      <name val="Calibri"/>
      <family val="2"/>
    </font>
    <font>
      <b/>
      <sz val="10"/>
      <color rgb="FF008000"/>
      <name val="Calibri"/>
      <family val="2"/>
      <scheme val="minor"/>
    </font>
    <font>
      <u/>
      <sz val="10"/>
      <color indexed="12"/>
      <name val="Calibri"/>
      <family val="2"/>
      <scheme val="minor"/>
    </font>
    <font>
      <sz val="8"/>
      <name val="Calibri"/>
      <family val="2"/>
    </font>
    <font>
      <u/>
      <sz val="8"/>
      <color theme="10"/>
      <name val="Arial"/>
      <family val="2"/>
    </font>
    <font>
      <sz val="16"/>
      <name val="Calibri"/>
      <family val="2"/>
    </font>
    <font>
      <sz val="12"/>
      <name val="Calibri"/>
      <family val="2"/>
    </font>
    <font>
      <i/>
      <sz val="10"/>
      <name val="Calibri"/>
      <family val="2"/>
    </font>
    <font>
      <u/>
      <sz val="10"/>
      <name val="Calibri"/>
      <family val="2"/>
    </font>
    <font>
      <sz val="10"/>
      <color indexed="81"/>
      <name val="Tahoma"/>
      <family val="2"/>
    </font>
    <font>
      <sz val="11"/>
      <color rgb="FF9C6500"/>
      <name val="Calibri"/>
      <family val="2"/>
      <scheme val="minor"/>
    </font>
    <font>
      <b/>
      <sz val="10"/>
      <color rgb="FF339966"/>
      <name val="Calibri"/>
      <family val="2"/>
    </font>
    <font>
      <sz val="10"/>
      <color rgb="FFFF0000"/>
      <name val="Arial"/>
      <family val="2"/>
    </font>
    <font>
      <sz val="9"/>
      <color rgb="FF008000"/>
      <name val="Arial"/>
      <family val="2"/>
    </font>
    <font>
      <u/>
      <sz val="11"/>
      <color indexed="12"/>
      <name val="Helv"/>
    </font>
    <font>
      <sz val="12"/>
      <name val="Arial"/>
      <family val="2"/>
    </font>
    <font>
      <sz val="10"/>
      <color rgb="FF008000"/>
      <name val="Calibri"/>
      <family val="2"/>
    </font>
    <font>
      <sz val="11"/>
      <color rgb="FF006100"/>
      <name val="Calibri"/>
      <family val="2"/>
      <scheme val="minor"/>
    </font>
    <font>
      <sz val="10"/>
      <color rgb="FF339966"/>
      <name val="Calibri"/>
      <family val="2"/>
    </font>
    <font>
      <sz val="10"/>
      <color theme="0" tint="-0.499984740745262"/>
      <name val="Calibri"/>
      <family val="2"/>
    </font>
    <font>
      <sz val="10"/>
      <color theme="1" tint="0.499984740745262"/>
      <name val="Calibri"/>
      <family val="2"/>
    </font>
    <font>
      <b/>
      <sz val="10"/>
      <name val="Arial"/>
      <family val="2"/>
    </font>
    <font>
      <b/>
      <sz val="10"/>
      <color theme="1"/>
      <name val="Calibri"/>
      <family val="2"/>
    </font>
    <font>
      <b/>
      <u/>
      <sz val="9"/>
      <color indexed="12"/>
      <name val="Helv"/>
    </font>
    <font>
      <b/>
      <sz val="10"/>
      <color rgb="FFFF0000"/>
      <name val="Arial"/>
      <family val="2"/>
    </font>
  </fonts>
  <fills count="36">
    <fill>
      <patternFill patternType="none"/>
    </fill>
    <fill>
      <patternFill patternType="gray125"/>
    </fill>
    <fill>
      <patternFill patternType="solid">
        <fgColor indexed="9"/>
        <bgColor indexed="9"/>
      </patternFill>
    </fill>
    <fill>
      <patternFill patternType="solid">
        <fgColor indexed="9"/>
        <bgColor indexed="64"/>
      </patternFill>
    </fill>
    <fill>
      <patternFill patternType="solid">
        <fgColor indexed="43"/>
        <bgColor indexed="9"/>
      </patternFill>
    </fill>
    <fill>
      <patternFill patternType="solid">
        <fgColor rgb="FFFFC000"/>
        <bgColor indexed="9"/>
      </patternFill>
    </fill>
    <fill>
      <patternFill patternType="solid">
        <fgColor theme="0"/>
        <bgColor indexed="9"/>
      </patternFill>
    </fill>
    <fill>
      <patternFill patternType="solid">
        <fgColor theme="0"/>
        <bgColor indexed="64"/>
      </patternFill>
    </fill>
    <fill>
      <patternFill patternType="solid">
        <fgColor theme="4" tint="0.79998168889431442"/>
        <bgColor indexed="9"/>
      </patternFill>
    </fill>
    <fill>
      <patternFill patternType="solid">
        <fgColor theme="0" tint="-0.14999847407452621"/>
        <bgColor indexed="9"/>
      </patternFill>
    </fill>
    <fill>
      <patternFill patternType="solid">
        <fgColor rgb="FF969696"/>
        <bgColor indexed="9"/>
      </patternFill>
    </fill>
    <fill>
      <patternFill patternType="solid">
        <fgColor theme="6" tint="0.79998168889431442"/>
        <bgColor indexed="9"/>
      </patternFill>
    </fill>
    <fill>
      <patternFill patternType="solid">
        <fgColor theme="6" tint="0.79998168889431442"/>
        <bgColor indexed="64"/>
      </patternFill>
    </fill>
    <fill>
      <patternFill patternType="solid">
        <fgColor rgb="FF99FF33"/>
        <bgColor indexed="9"/>
      </patternFill>
    </fill>
    <fill>
      <patternFill patternType="solid">
        <fgColor theme="9" tint="0.59999389629810485"/>
        <bgColor indexed="9"/>
      </patternFill>
    </fill>
    <fill>
      <patternFill patternType="solid">
        <fgColor theme="9" tint="0.79998168889431442"/>
        <bgColor indexed="9"/>
      </patternFill>
    </fill>
    <fill>
      <patternFill patternType="solid">
        <fgColor rgb="FFFFFFCC"/>
        <bgColor indexed="9"/>
      </patternFill>
    </fill>
    <fill>
      <patternFill patternType="solid">
        <fgColor rgb="FFFFFF99"/>
        <bgColor indexed="9"/>
      </patternFill>
    </fill>
    <fill>
      <patternFill patternType="solid">
        <fgColor theme="9" tint="0.39997558519241921"/>
        <bgColor indexed="9"/>
      </patternFill>
    </fill>
    <fill>
      <patternFill patternType="solid">
        <fgColor rgb="FFFFEB9C"/>
      </patternFill>
    </fill>
    <fill>
      <patternFill patternType="solid">
        <fgColor theme="6" tint="0.39997558519241921"/>
        <bgColor indexed="9"/>
      </patternFill>
    </fill>
    <fill>
      <patternFill patternType="solid">
        <fgColor theme="6" tint="0.59999389629810485"/>
        <bgColor indexed="9"/>
      </patternFill>
    </fill>
    <fill>
      <patternFill patternType="solid">
        <fgColor theme="7" tint="0.59999389629810485"/>
        <bgColor indexed="9"/>
      </patternFill>
    </fill>
    <fill>
      <patternFill patternType="solid">
        <fgColor theme="6" tint="0.39997558519241921"/>
        <bgColor indexed="64"/>
      </patternFill>
    </fill>
    <fill>
      <patternFill patternType="solid">
        <fgColor rgb="FFFFFF99"/>
        <bgColor indexed="64"/>
      </patternFill>
    </fill>
    <fill>
      <patternFill patternType="solid">
        <fgColor theme="5" tint="0.59999389629810485"/>
        <bgColor indexed="9"/>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0.249977111117893"/>
        <bgColor indexed="9"/>
      </patternFill>
    </fill>
    <fill>
      <patternFill patternType="solid">
        <fgColor theme="6" tint="0.59999389629810485"/>
        <bgColor indexed="64"/>
      </patternFill>
    </fill>
    <fill>
      <patternFill patternType="solid">
        <fgColor rgb="FFC6EFCE"/>
      </patternFill>
    </fill>
    <fill>
      <patternFill patternType="solid">
        <fgColor theme="0" tint="-4.9989318521683403E-2"/>
        <bgColor indexed="9"/>
      </patternFill>
    </fill>
    <fill>
      <patternFill patternType="solid">
        <fgColor theme="0" tint="-4.9989318521683403E-2"/>
        <bgColor indexed="64"/>
      </patternFill>
    </fill>
    <fill>
      <patternFill patternType="solid">
        <fgColor theme="0" tint="-0.499984740745262"/>
        <bgColor indexed="9"/>
      </patternFill>
    </fill>
    <fill>
      <patternFill patternType="solid">
        <fgColor theme="1" tint="0.499984740745262"/>
        <bgColor indexed="9"/>
      </patternFill>
    </fill>
    <fill>
      <patternFill patternType="solid">
        <fgColor rgb="FF3333FF"/>
        <bgColor indexed="9"/>
      </patternFill>
    </fill>
  </fills>
  <borders count="8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FF0000"/>
      </bottom>
      <diagonal/>
    </border>
    <border>
      <left/>
      <right style="thin">
        <color rgb="FFFF0000"/>
      </right>
      <top style="thin">
        <color rgb="FFFF0000"/>
      </top>
      <bottom style="thin">
        <color rgb="FFFF0000"/>
      </bottom>
      <diagonal/>
    </border>
    <border>
      <left/>
      <right style="thin">
        <color rgb="FFFF0000"/>
      </right>
      <top/>
      <bottom/>
      <diagonal/>
    </border>
    <border>
      <left style="thin">
        <color rgb="FFFF0000"/>
      </left>
      <right style="thin">
        <color rgb="FFFF0000"/>
      </right>
      <top/>
      <bottom style="thin">
        <color rgb="FFFF0000"/>
      </bottom>
      <diagonal/>
    </border>
    <border>
      <left style="thin">
        <color rgb="FFFF0000"/>
      </left>
      <right style="medium">
        <color theme="5" tint="-0.249977111117893"/>
      </right>
      <top style="thin">
        <color rgb="FFFF0000"/>
      </top>
      <bottom style="thin">
        <color rgb="FFFF0000"/>
      </bottom>
      <diagonal/>
    </border>
    <border>
      <left style="thin">
        <color rgb="FFFF0000"/>
      </left>
      <right style="medium">
        <color theme="5" tint="-0.249977111117893"/>
      </right>
      <top style="thin">
        <color rgb="FFFF0000"/>
      </top>
      <bottom style="medium">
        <color theme="5" tint="-0.249977111117893"/>
      </bottom>
      <diagonal/>
    </border>
    <border>
      <left style="thin">
        <color rgb="FFFF0000"/>
      </left>
      <right style="medium">
        <color theme="5" tint="-0.249977111117893"/>
      </right>
      <top/>
      <bottom style="thin">
        <color rgb="FFFF0000"/>
      </bottom>
      <diagonal/>
    </border>
    <border>
      <left/>
      <right style="thin">
        <color rgb="FFFF0000"/>
      </right>
      <top style="thin">
        <color rgb="FFFF0000"/>
      </top>
      <bottom style="medium">
        <color theme="5"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medium">
        <color rgb="FFC00000"/>
      </left>
      <right style="medium">
        <color rgb="FFC00000"/>
      </right>
      <top style="medium">
        <color rgb="FFC00000"/>
      </top>
      <bottom style="medium">
        <color rgb="FFC00000"/>
      </bottom>
      <diagonal/>
    </border>
    <border>
      <left style="thin">
        <color indexed="64"/>
      </left>
      <right style="thin">
        <color indexed="64"/>
      </right>
      <top style="thin">
        <color indexed="64"/>
      </top>
      <bottom style="medium">
        <color rgb="FFC00000"/>
      </bottom>
      <diagonal/>
    </border>
    <border>
      <left style="thin">
        <color indexed="64"/>
      </left>
      <right style="medium">
        <color rgb="FFC00000"/>
      </right>
      <top style="thin">
        <color indexed="64"/>
      </top>
      <bottom style="medium">
        <color rgb="FFC00000"/>
      </bottom>
      <diagonal/>
    </border>
    <border>
      <left/>
      <right style="thin">
        <color indexed="64"/>
      </right>
      <top style="thin">
        <color indexed="64"/>
      </top>
      <bottom style="medium">
        <color rgb="FFC00000"/>
      </bottom>
      <diagonal/>
    </border>
    <border>
      <left style="medium">
        <color rgb="FFC00000"/>
      </left>
      <right style="medium">
        <color rgb="FFC00000"/>
      </right>
      <top style="thin">
        <color indexed="64"/>
      </top>
      <bottom style="thin">
        <color indexed="64"/>
      </bottom>
      <diagonal/>
    </border>
    <border>
      <left style="medium">
        <color rgb="FFC00000"/>
      </left>
      <right style="medium">
        <color rgb="FFC00000"/>
      </right>
      <top style="thin">
        <color indexed="64"/>
      </top>
      <bottom/>
      <diagonal/>
    </border>
    <border>
      <left style="medium">
        <color rgb="FFC00000"/>
      </left>
      <right style="medium">
        <color rgb="FFC00000"/>
      </right>
      <top style="thin">
        <color indexed="64"/>
      </top>
      <bottom style="medium">
        <color rgb="FFC00000"/>
      </bottom>
      <diagonal/>
    </border>
    <border>
      <left style="medium">
        <color rgb="FFC00000"/>
      </left>
      <right style="medium">
        <color rgb="FFC00000"/>
      </right>
      <top/>
      <bottom style="thin">
        <color indexed="64"/>
      </bottom>
      <diagonal/>
    </border>
    <border>
      <left style="thin">
        <color indexed="64"/>
      </left>
      <right style="thin">
        <color indexed="64"/>
      </right>
      <top/>
      <bottom style="thin">
        <color indexed="64"/>
      </bottom>
      <diagonal/>
    </border>
    <border>
      <left style="thin">
        <color indexed="64"/>
      </left>
      <right style="medium">
        <color rgb="FFC00000"/>
      </right>
      <top/>
      <bottom style="thin">
        <color indexed="64"/>
      </bottom>
      <diagonal/>
    </border>
    <border>
      <left/>
      <right style="thin">
        <color indexed="64"/>
      </right>
      <top style="medium">
        <color rgb="FFC00000"/>
      </top>
      <bottom style="medium">
        <color rgb="FFC00000"/>
      </bottom>
      <diagonal/>
    </border>
    <border>
      <left style="thin">
        <color indexed="64"/>
      </left>
      <right style="thin">
        <color indexed="64"/>
      </right>
      <top style="medium">
        <color rgb="FFC00000"/>
      </top>
      <bottom style="medium">
        <color rgb="FFC00000"/>
      </bottom>
      <diagonal/>
    </border>
    <border>
      <left style="thin">
        <color indexed="64"/>
      </left>
      <right style="medium">
        <color rgb="FFC00000"/>
      </right>
      <top style="medium">
        <color rgb="FFC00000"/>
      </top>
      <bottom style="medium">
        <color rgb="FFC00000"/>
      </bottom>
      <diagonal/>
    </border>
    <border>
      <left style="medium">
        <color indexed="64"/>
      </left>
      <right/>
      <top/>
      <bottom style="thin">
        <color indexed="64"/>
      </bottom>
      <diagonal/>
    </border>
    <border>
      <left/>
      <right style="medium">
        <color indexed="64"/>
      </right>
      <top/>
      <bottom style="thin">
        <color indexed="64"/>
      </bottom>
      <diagonal/>
    </border>
  </borders>
  <cellStyleXfs count="5">
    <xf numFmtId="0" fontId="0" fillId="0" borderId="0"/>
    <xf numFmtId="0" fontId="3" fillId="0" borderId="0" applyNumberFormat="0" applyFill="0" applyBorder="0" applyAlignment="0" applyProtection="0">
      <alignment vertical="top"/>
      <protection locked="0"/>
    </xf>
    <xf numFmtId="0" fontId="4" fillId="0" borderId="0"/>
    <xf numFmtId="0" fontId="67" fillId="19" borderId="0" applyNumberFormat="0" applyBorder="0" applyAlignment="0" applyProtection="0"/>
    <xf numFmtId="0" fontId="74" fillId="30" borderId="0" applyNumberFormat="0" applyBorder="0" applyAlignment="0" applyProtection="0"/>
  </cellStyleXfs>
  <cellXfs count="621">
    <xf numFmtId="0" fontId="0" fillId="0" borderId="0" xfId="0"/>
    <xf numFmtId="0" fontId="5" fillId="2" borderId="0" xfId="0" applyFont="1" applyFill="1" applyAlignment="1">
      <alignment vertical="center"/>
    </xf>
    <xf numFmtId="0" fontId="7" fillId="2" borderId="0" xfId="0" applyFont="1" applyFill="1"/>
    <xf numFmtId="0" fontId="8" fillId="2" borderId="0" xfId="0" applyFont="1" applyFill="1" applyAlignment="1">
      <alignment horizontal="left"/>
    </xf>
    <xf numFmtId="49" fontId="8" fillId="2" borderId="0" xfId="0" applyNumberFormat="1" applyFont="1" applyFill="1" applyAlignment="1">
      <alignment horizontal="left"/>
    </xf>
    <xf numFmtId="0" fontId="15" fillId="2" borderId="0" xfId="0" applyFont="1" applyFill="1"/>
    <xf numFmtId="0" fontId="5" fillId="2" borderId="0" xfId="0" applyFont="1" applyFill="1"/>
    <xf numFmtId="0" fontId="8" fillId="2" borderId="0" xfId="0" applyFont="1" applyFill="1" applyAlignment="1">
      <alignment horizontal="center"/>
    </xf>
    <xf numFmtId="0" fontId="7" fillId="0" borderId="0" xfId="0" applyFont="1"/>
    <xf numFmtId="0" fontId="7" fillId="2" borderId="0" xfId="0" applyFont="1" applyFill="1" applyAlignment="1">
      <alignment horizontal="center"/>
    </xf>
    <xf numFmtId="0" fontId="7" fillId="2" borderId="0" xfId="0" applyFont="1" applyFill="1" applyAlignment="1">
      <alignment horizontal="left" vertical="center"/>
    </xf>
    <xf numFmtId="0" fontId="7" fillId="2" borderId="0" xfId="0" applyFont="1" applyFill="1" applyAlignment="1">
      <alignment vertical="center"/>
    </xf>
    <xf numFmtId="0" fontId="7" fillId="0" borderId="0" xfId="0" applyFont="1" applyAlignment="1">
      <alignment horizontal="left"/>
    </xf>
    <xf numFmtId="49" fontId="7" fillId="2" borderId="0" xfId="0" applyNumberFormat="1" applyFont="1" applyFill="1" applyAlignment="1">
      <alignment horizontal="left" vertical="center"/>
    </xf>
    <xf numFmtId="0" fontId="7" fillId="2" borderId="0" xfId="0" applyFont="1" applyFill="1" applyAlignment="1">
      <alignment horizontal="center" vertical="center"/>
    </xf>
    <xf numFmtId="0" fontId="6" fillId="2" borderId="0" xfId="0" applyFont="1" applyFill="1"/>
    <xf numFmtId="0" fontId="17" fillId="2" borderId="0" xfId="0" applyFont="1" applyFill="1" applyAlignment="1">
      <alignment horizontal="left"/>
    </xf>
    <xf numFmtId="0" fontId="8" fillId="2" borderId="0" xfId="0" applyFont="1" applyFill="1" applyAlignment="1">
      <alignment vertical="top"/>
    </xf>
    <xf numFmtId="0" fontId="8" fillId="2" borderId="0" xfId="0" applyFont="1" applyFill="1" applyAlignment="1">
      <alignment horizontal="left" vertical="top" wrapText="1"/>
    </xf>
    <xf numFmtId="0" fontId="8" fillId="2" borderId="0" xfId="0" applyFont="1" applyFill="1" applyAlignment="1">
      <alignment horizontal="left" vertical="center" wrapText="1"/>
    </xf>
    <xf numFmtId="0" fontId="7" fillId="3" borderId="0" xfId="0" applyFont="1" applyFill="1" applyAlignment="1">
      <alignment vertical="center" wrapText="1"/>
    </xf>
    <xf numFmtId="0" fontId="5" fillId="2" borderId="0" xfId="0" applyFont="1" applyFill="1" applyAlignment="1">
      <alignment vertical="center" wrapText="1"/>
    </xf>
    <xf numFmtId="49" fontId="16" fillId="2" borderId="0" xfId="0" applyNumberFormat="1" applyFont="1" applyFill="1" applyAlignment="1">
      <alignment vertical="center"/>
    </xf>
    <xf numFmtId="0" fontId="10" fillId="0" borderId="0" xfId="1" applyFont="1" applyAlignment="1" applyProtection="1"/>
    <xf numFmtId="0" fontId="9" fillId="2" borderId="0" xfId="0" applyFont="1" applyFill="1" applyAlignment="1">
      <alignment vertical="center"/>
    </xf>
    <xf numFmtId="0" fontId="5" fillId="2" borderId="0" xfId="0" applyFont="1" applyFill="1" applyAlignment="1">
      <alignment wrapText="1"/>
    </xf>
    <xf numFmtId="0" fontId="11" fillId="2" borderId="0" xfId="0" applyFont="1" applyFill="1" applyAlignment="1">
      <alignment horizontal="left"/>
    </xf>
    <xf numFmtId="2" fontId="11" fillId="2" borderId="0" xfId="0" applyNumberFormat="1" applyFont="1" applyFill="1" applyAlignment="1">
      <alignment horizontal="left"/>
    </xf>
    <xf numFmtId="0" fontId="5" fillId="2" borderId="0" xfId="0" applyFont="1" applyFill="1" applyAlignment="1">
      <alignment horizontal="left"/>
    </xf>
    <xf numFmtId="0" fontId="16" fillId="2" borderId="0" xfId="0" applyFont="1" applyFill="1" applyAlignment="1">
      <alignment horizontal="left" vertical="center"/>
    </xf>
    <xf numFmtId="0" fontId="16" fillId="2" borderId="0" xfId="0" applyFont="1" applyFill="1" applyAlignment="1">
      <alignment vertical="center"/>
    </xf>
    <xf numFmtId="1" fontId="7" fillId="2" borderId="0" xfId="0" applyNumberFormat="1" applyFont="1" applyFill="1" applyAlignment="1">
      <alignment horizontal="right" vertical="center"/>
    </xf>
    <xf numFmtId="0" fontId="9" fillId="2" borderId="0" xfId="0" applyFont="1" applyFill="1"/>
    <xf numFmtId="0" fontId="5" fillId="2" borderId="0" xfId="0" applyFont="1" applyFill="1" applyAlignment="1">
      <alignment horizontal="center" vertical="center"/>
    </xf>
    <xf numFmtId="0" fontId="8" fillId="2" borderId="0" xfId="0" applyFont="1" applyFill="1" applyAlignment="1">
      <alignment horizontal="left" vertical="center"/>
    </xf>
    <xf numFmtId="0" fontId="11" fillId="2" borderId="0" xfId="0" applyFont="1" applyFill="1" applyAlignment="1">
      <alignment vertical="center"/>
    </xf>
    <xf numFmtId="2" fontId="7" fillId="2" borderId="0" xfId="0" applyNumberFormat="1" applyFont="1" applyFill="1" applyAlignment="1">
      <alignment horizontal="left" vertical="center"/>
    </xf>
    <xf numFmtId="0" fontId="5" fillId="2" borderId="0" xfId="0" applyFont="1" applyFill="1" applyAlignment="1">
      <alignment horizontal="right" vertical="center"/>
    </xf>
    <xf numFmtId="1" fontId="7" fillId="2" borderId="0" xfId="0" applyNumberFormat="1" applyFont="1" applyFill="1" applyAlignment="1">
      <alignment vertical="center"/>
    </xf>
    <xf numFmtId="0" fontId="7" fillId="3" borderId="0" xfId="0" applyFont="1" applyFill="1" applyAlignment="1">
      <alignment vertical="center"/>
    </xf>
    <xf numFmtId="1" fontId="5" fillId="0" borderId="0" xfId="0" applyNumberFormat="1" applyFont="1" applyAlignment="1">
      <alignment vertical="center"/>
    </xf>
    <xf numFmtId="1" fontId="13" fillId="0" borderId="0" xfId="0" applyNumberFormat="1" applyFont="1" applyAlignment="1">
      <alignment vertical="center"/>
    </xf>
    <xf numFmtId="0" fontId="7" fillId="3" borderId="0" xfId="0" applyFont="1" applyFill="1" applyAlignment="1">
      <alignment horizontal="center" vertical="center" wrapText="1"/>
    </xf>
    <xf numFmtId="1" fontId="5" fillId="0" borderId="0" xfId="0" applyNumberFormat="1" applyFont="1" applyAlignment="1">
      <alignment horizontal="right" vertical="center"/>
    </xf>
    <xf numFmtId="1" fontId="13" fillId="0" borderId="0" xfId="0" applyNumberFormat="1" applyFont="1" applyAlignment="1">
      <alignment horizontal="right" vertical="center"/>
    </xf>
    <xf numFmtId="0" fontId="11" fillId="2" borderId="0" xfId="0" applyFont="1" applyFill="1" applyAlignment="1">
      <alignment horizontal="center" vertical="center"/>
    </xf>
    <xf numFmtId="0" fontId="7" fillId="0" borderId="0" xfId="0" applyFont="1" applyAlignment="1">
      <alignment vertical="center"/>
    </xf>
    <xf numFmtId="0" fontId="14" fillId="2" borderId="0" xfId="0" applyFont="1" applyFill="1" applyAlignment="1">
      <alignment vertical="center"/>
    </xf>
    <xf numFmtId="49" fontId="16" fillId="2" borderId="0" xfId="0" applyNumberFormat="1" applyFont="1" applyFill="1" applyAlignment="1">
      <alignment vertical="center" wrapText="1"/>
    </xf>
    <xf numFmtId="0" fontId="16" fillId="2" borderId="0" xfId="0" applyFont="1" applyFill="1" applyAlignment="1">
      <alignment vertical="center" wrapText="1"/>
    </xf>
    <xf numFmtId="0" fontId="16" fillId="0" borderId="0" xfId="0" applyFont="1"/>
    <xf numFmtId="0" fontId="5" fillId="2" borderId="0" xfId="0" applyFont="1" applyFill="1" applyAlignment="1">
      <alignment horizontal="right" vertical="center" wrapText="1"/>
    </xf>
    <xf numFmtId="0" fontId="7" fillId="0" borderId="0" xfId="0" applyFont="1" applyAlignment="1">
      <alignment vertical="top" wrapText="1"/>
    </xf>
    <xf numFmtId="0" fontId="8" fillId="0" borderId="0" xfId="0" applyFont="1" applyAlignment="1">
      <alignment vertical="top" wrapText="1"/>
    </xf>
    <xf numFmtId="49" fontId="16" fillId="2" borderId="0" xfId="0" applyNumberFormat="1" applyFont="1" applyFill="1" applyAlignment="1">
      <alignment horizontal="left" vertical="center"/>
    </xf>
    <xf numFmtId="0" fontId="12" fillId="2" borderId="0" xfId="0" applyFont="1" applyFill="1" applyAlignment="1">
      <alignment horizontal="left" vertical="center"/>
    </xf>
    <xf numFmtId="0" fontId="7" fillId="2" borderId="1" xfId="0" applyFont="1" applyFill="1" applyBorder="1" applyAlignment="1" applyProtection="1">
      <alignment horizontal="left" wrapText="1"/>
      <protection locked="0"/>
    </xf>
    <xf numFmtId="0" fontId="7" fillId="0" borderId="0" xfId="0" applyFont="1" applyAlignment="1">
      <alignment horizontal="left" indent="1"/>
    </xf>
    <xf numFmtId="0" fontId="19" fillId="2" borderId="0" xfId="0" applyFont="1" applyFill="1"/>
    <xf numFmtId="0" fontId="5" fillId="2" borderId="1" xfId="0" applyFont="1" applyFill="1" applyBorder="1"/>
    <xf numFmtId="0" fontId="5" fillId="2" borderId="6" xfId="0" applyFont="1" applyFill="1" applyBorder="1"/>
    <xf numFmtId="0" fontId="7" fillId="2" borderId="7" xfId="0" applyFont="1" applyFill="1" applyBorder="1" applyAlignment="1">
      <alignment vertical="center"/>
    </xf>
    <xf numFmtId="1" fontId="7" fillId="2" borderId="8" xfId="0" applyNumberFormat="1" applyFont="1" applyFill="1" applyBorder="1" applyAlignment="1" applyProtection="1">
      <alignment horizontal="right" vertical="center"/>
      <protection locked="0"/>
    </xf>
    <xf numFmtId="1" fontId="7" fillId="2" borderId="9" xfId="0" applyNumberFormat="1" applyFont="1" applyFill="1" applyBorder="1" applyAlignment="1" applyProtection="1">
      <alignment horizontal="right" vertical="center"/>
      <protection locked="0"/>
    </xf>
    <xf numFmtId="0" fontId="11" fillId="2" borderId="0" xfId="0" applyFont="1" applyFill="1" applyAlignment="1">
      <alignment vertical="center" wrapText="1"/>
    </xf>
    <xf numFmtId="1" fontId="7" fillId="2" borderId="10" xfId="0" applyNumberFormat="1" applyFont="1" applyFill="1" applyBorder="1" applyAlignment="1" applyProtection="1">
      <alignment horizontal="right" vertical="center"/>
      <protection locked="0"/>
    </xf>
    <xf numFmtId="1" fontId="7" fillId="2" borderId="12" xfId="0" applyNumberFormat="1" applyFont="1" applyFill="1" applyBorder="1" applyAlignment="1" applyProtection="1">
      <alignment horizontal="right" vertical="center"/>
      <protection locked="0"/>
    </xf>
    <xf numFmtId="1" fontId="7" fillId="2" borderId="13" xfId="0" applyNumberFormat="1" applyFont="1" applyFill="1" applyBorder="1" applyAlignment="1" applyProtection="1">
      <alignment horizontal="right" vertical="center"/>
      <protection locked="0"/>
    </xf>
    <xf numFmtId="1" fontId="7" fillId="2" borderId="15" xfId="0" applyNumberFormat="1" applyFont="1" applyFill="1" applyBorder="1" applyAlignment="1" applyProtection="1">
      <alignment horizontal="right" vertical="center"/>
      <protection locked="0"/>
    </xf>
    <xf numFmtId="0" fontId="19" fillId="2" borderId="0" xfId="0" applyFont="1" applyFill="1" applyAlignment="1">
      <alignment vertical="center"/>
    </xf>
    <xf numFmtId="0" fontId="7" fillId="2" borderId="0" xfId="0" applyFont="1" applyFill="1" applyAlignment="1">
      <alignment horizontal="left" indent="1"/>
    </xf>
    <xf numFmtId="0" fontId="7" fillId="2" borderId="1" xfId="0" applyFont="1" applyFill="1" applyBorder="1" applyAlignment="1" applyProtection="1">
      <alignment horizontal="left"/>
      <protection locked="0"/>
    </xf>
    <xf numFmtId="0" fontId="8" fillId="0" borderId="0" xfId="0" applyFont="1"/>
    <xf numFmtId="14" fontId="7" fillId="2" borderId="1" xfId="0" applyNumberFormat="1" applyFont="1" applyFill="1" applyBorder="1" applyAlignment="1" applyProtection="1">
      <alignment horizontal="left" wrapText="1"/>
      <protection locked="0"/>
    </xf>
    <xf numFmtId="1" fontId="11" fillId="2" borderId="13" xfId="0" applyNumberFormat="1" applyFont="1" applyFill="1" applyBorder="1" applyAlignment="1" applyProtection="1">
      <alignment horizontal="center" vertical="center"/>
      <protection locked="0"/>
    </xf>
    <xf numFmtId="164" fontId="7" fillId="2" borderId="8" xfId="0" applyNumberFormat="1" applyFont="1" applyFill="1" applyBorder="1" applyAlignment="1" applyProtection="1">
      <alignment horizontal="right" vertical="center"/>
      <protection locked="0"/>
    </xf>
    <xf numFmtId="164" fontId="7" fillId="2" borderId="9" xfId="0" applyNumberFormat="1" applyFont="1" applyFill="1" applyBorder="1" applyAlignment="1" applyProtection="1">
      <alignment horizontal="right" vertical="center"/>
      <protection locked="0"/>
    </xf>
    <xf numFmtId="164" fontId="5" fillId="4" borderId="9" xfId="0" applyNumberFormat="1" applyFont="1" applyFill="1" applyBorder="1" applyAlignment="1">
      <alignment horizontal="right" vertical="center"/>
    </xf>
    <xf numFmtId="164" fontId="5" fillId="4" borderId="22" xfId="0" applyNumberFormat="1" applyFont="1" applyFill="1" applyBorder="1" applyAlignment="1">
      <alignment horizontal="right" vertical="center"/>
    </xf>
    <xf numFmtId="164" fontId="5" fillId="4" borderId="17" xfId="0" applyNumberFormat="1" applyFont="1" applyFill="1" applyBorder="1" applyAlignment="1">
      <alignment horizontal="right" vertical="center"/>
    </xf>
    <xf numFmtId="164" fontId="13" fillId="4" borderId="14" xfId="0" applyNumberFormat="1" applyFont="1" applyFill="1" applyBorder="1" applyAlignment="1">
      <alignment vertical="center"/>
    </xf>
    <xf numFmtId="0" fontId="11" fillId="2" borderId="0" xfId="0" applyFont="1" applyFill="1" applyAlignment="1">
      <alignment horizontal="left" vertical="top"/>
    </xf>
    <xf numFmtId="164" fontId="7" fillId="2" borderId="23" xfId="0" applyNumberFormat="1" applyFont="1" applyFill="1" applyBorder="1" applyAlignment="1" applyProtection="1">
      <alignment horizontal="right" vertical="center"/>
      <protection locked="0"/>
    </xf>
    <xf numFmtId="164" fontId="7" fillId="2" borderId="24" xfId="0" applyNumberFormat="1" applyFont="1" applyFill="1" applyBorder="1" applyAlignment="1" applyProtection="1">
      <alignment horizontal="right" vertical="center"/>
      <protection locked="0"/>
    </xf>
    <xf numFmtId="1" fontId="7" fillId="2" borderId="0" xfId="0" applyNumberFormat="1" applyFont="1" applyFill="1" applyAlignment="1" applyProtection="1">
      <alignment horizontal="right" vertical="center"/>
      <protection locked="0"/>
    </xf>
    <xf numFmtId="0" fontId="7" fillId="2" borderId="0" xfId="0" applyFont="1" applyFill="1" applyAlignment="1" applyProtection="1">
      <alignment horizontal="left" vertical="center" wrapText="1"/>
      <protection locked="0"/>
    </xf>
    <xf numFmtId="0" fontId="21" fillId="0" borderId="0" xfId="0" applyFont="1"/>
    <xf numFmtId="1" fontId="7" fillId="2" borderId="20" xfId="0" applyNumberFormat="1" applyFont="1" applyFill="1" applyBorder="1" applyAlignment="1" applyProtection="1">
      <alignment vertical="center"/>
      <protection locked="0"/>
    </xf>
    <xf numFmtId="1" fontId="7" fillId="2" borderId="1" xfId="0" applyNumberFormat="1" applyFont="1" applyFill="1" applyBorder="1" applyAlignment="1" applyProtection="1">
      <alignment vertical="center"/>
      <protection locked="0"/>
    </xf>
    <xf numFmtId="1" fontId="7" fillId="2" borderId="21" xfId="0" applyNumberFormat="1" applyFont="1" applyFill="1" applyBorder="1" applyAlignment="1" applyProtection="1">
      <alignment vertical="center"/>
      <protection locked="0"/>
    </xf>
    <xf numFmtId="49" fontId="22" fillId="2" borderId="0" xfId="0" applyNumberFormat="1" applyFont="1" applyFill="1" applyAlignment="1">
      <alignment vertical="center" wrapText="1"/>
    </xf>
    <xf numFmtId="0" fontId="23" fillId="0" borderId="1" xfId="0" applyFont="1" applyBorder="1" applyProtection="1">
      <protection locked="0"/>
    </xf>
    <xf numFmtId="0" fontId="24" fillId="0" borderId="0" xfId="0" applyFont="1"/>
    <xf numFmtId="0" fontId="23" fillId="0" borderId="0" xfId="0" applyFont="1"/>
    <xf numFmtId="165" fontId="23" fillId="0" borderId="0" xfId="0" applyNumberFormat="1" applyFont="1"/>
    <xf numFmtId="0" fontId="7" fillId="2" borderId="0" xfId="0" applyFont="1" applyFill="1" applyProtection="1">
      <protection locked="0"/>
    </xf>
    <xf numFmtId="2" fontId="7" fillId="5" borderId="0" xfId="0" applyNumberFormat="1" applyFont="1" applyFill="1" applyAlignment="1">
      <alignment horizontal="left" vertical="center"/>
    </xf>
    <xf numFmtId="0" fontId="7" fillId="5" borderId="0" xfId="0" applyFont="1" applyFill="1" applyAlignment="1">
      <alignment vertical="center"/>
    </xf>
    <xf numFmtId="164" fontId="7" fillId="5" borderId="9" xfId="0" applyNumberFormat="1" applyFont="1" applyFill="1" applyBorder="1" applyAlignment="1" applyProtection="1">
      <alignment horizontal="right" vertical="center"/>
      <protection locked="0"/>
    </xf>
    <xf numFmtId="164" fontId="7" fillId="5" borderId="24" xfId="0" applyNumberFormat="1" applyFont="1" applyFill="1" applyBorder="1" applyAlignment="1" applyProtection="1">
      <alignment horizontal="right" vertical="center"/>
      <protection locked="0"/>
    </xf>
    <xf numFmtId="0" fontId="7" fillId="6" borderId="0" xfId="0" applyFont="1" applyFill="1" applyAlignment="1">
      <alignment vertical="center"/>
    </xf>
    <xf numFmtId="0" fontId="11" fillId="0" borderId="0" xfId="0" applyFont="1" applyAlignment="1">
      <alignment horizontal="left" vertical="center"/>
    </xf>
    <xf numFmtId="1" fontId="9" fillId="0" borderId="0" xfId="0" applyNumberFormat="1" applyFont="1" applyAlignment="1">
      <alignment horizontal="right" vertical="center"/>
    </xf>
    <xf numFmtId="0" fontId="9" fillId="0" borderId="0" xfId="0" applyFont="1"/>
    <xf numFmtId="0" fontId="26" fillId="2" borderId="0" xfId="0" applyFont="1" applyFill="1" applyAlignment="1">
      <alignment vertical="center"/>
    </xf>
    <xf numFmtId="0" fontId="7" fillId="2" borderId="46" xfId="0" applyFont="1" applyFill="1" applyBorder="1" applyAlignment="1" applyProtection="1">
      <alignment horizontal="left"/>
      <protection locked="0"/>
    </xf>
    <xf numFmtId="0" fontId="7" fillId="2" borderId="45" xfId="0" applyFont="1" applyFill="1" applyBorder="1" applyAlignment="1" applyProtection="1">
      <alignment horizontal="left"/>
      <protection locked="0"/>
    </xf>
    <xf numFmtId="1" fontId="7" fillId="6" borderId="11" xfId="0" applyNumberFormat="1" applyFont="1" applyFill="1" applyBorder="1" applyAlignment="1" applyProtection="1">
      <alignment horizontal="right" vertical="center"/>
      <protection locked="0"/>
    </xf>
    <xf numFmtId="1" fontId="7" fillId="6" borderId="12" xfId="0" applyNumberFormat="1" applyFont="1" applyFill="1" applyBorder="1" applyAlignment="1" applyProtection="1">
      <alignment horizontal="right" vertical="center"/>
      <protection locked="0"/>
    </xf>
    <xf numFmtId="0" fontId="0" fillId="0" borderId="0" xfId="0" applyAlignment="1">
      <alignment vertical="center"/>
    </xf>
    <xf numFmtId="0" fontId="7" fillId="2" borderId="0" xfId="0" applyFont="1" applyFill="1" applyAlignment="1">
      <alignment vertical="top" wrapText="1"/>
    </xf>
    <xf numFmtId="0" fontId="7" fillId="7" borderId="0" xfId="0" applyFont="1" applyFill="1" applyAlignment="1">
      <alignment vertical="top" wrapText="1"/>
    </xf>
    <xf numFmtId="0" fontId="27" fillId="0" borderId="0" xfId="0" applyFont="1" applyAlignment="1">
      <alignment vertical="center"/>
    </xf>
    <xf numFmtId="0" fontId="7" fillId="0" borderId="0" xfId="0" applyFont="1" applyAlignment="1">
      <alignment horizontal="left" vertical="center" wrapText="1"/>
    </xf>
    <xf numFmtId="0" fontId="29" fillId="2" borderId="0" xfId="0" applyFont="1" applyFill="1" applyAlignment="1">
      <alignment vertical="center" wrapText="1"/>
    </xf>
    <xf numFmtId="0" fontId="5" fillId="0" borderId="0" xfId="0" applyFont="1"/>
    <xf numFmtId="1" fontId="11" fillId="2" borderId="10" xfId="0" applyNumberFormat="1" applyFont="1" applyFill="1" applyBorder="1" applyAlignment="1" applyProtection="1">
      <alignment horizontal="center" vertical="center"/>
      <protection locked="0"/>
    </xf>
    <xf numFmtId="1" fontId="11" fillId="2" borderId="49" xfId="0" applyNumberFormat="1" applyFont="1" applyFill="1" applyBorder="1" applyAlignment="1" applyProtection="1">
      <alignment horizontal="center" vertical="center"/>
      <protection locked="0"/>
    </xf>
    <xf numFmtId="0" fontId="30" fillId="2" borderId="0" xfId="0" applyFont="1" applyFill="1" applyAlignment="1">
      <alignment vertical="center"/>
    </xf>
    <xf numFmtId="0" fontId="7" fillId="6" borderId="0" xfId="0" applyFont="1" applyFill="1" applyAlignment="1">
      <alignment horizontal="left" vertical="top" wrapText="1"/>
    </xf>
    <xf numFmtId="0" fontId="5" fillId="11" borderId="14" xfId="0" applyFont="1" applyFill="1" applyBorder="1" applyAlignment="1">
      <alignment horizontal="center" vertical="center" wrapText="1"/>
    </xf>
    <xf numFmtId="0" fontId="5" fillId="11" borderId="14" xfId="0" applyFont="1" applyFill="1" applyBorder="1" applyAlignment="1">
      <alignment horizontal="center" vertical="center"/>
    </xf>
    <xf numFmtId="0" fontId="6" fillId="2" borderId="14" xfId="0" applyFont="1" applyFill="1" applyBorder="1" applyAlignment="1">
      <alignment horizontal="center" wrapText="1"/>
    </xf>
    <xf numFmtId="0" fontId="7" fillId="7" borderId="0" xfId="0" applyFont="1" applyFill="1" applyAlignment="1">
      <alignment horizontal="left"/>
    </xf>
    <xf numFmtId="0" fontId="7" fillId="7" borderId="0" xfId="0" applyFont="1" applyFill="1" applyAlignment="1">
      <alignment vertical="center"/>
    </xf>
    <xf numFmtId="0" fontId="5" fillId="8" borderId="1" xfId="0" applyFont="1" applyFill="1" applyBorder="1"/>
    <xf numFmtId="0" fontId="7" fillId="2" borderId="44" xfId="0" applyFont="1" applyFill="1" applyBorder="1" applyAlignment="1">
      <alignment horizontal="center" vertical="center"/>
    </xf>
    <xf numFmtId="1" fontId="7" fillId="2" borderId="5" xfId="0" applyNumberFormat="1" applyFont="1" applyFill="1" applyBorder="1" applyAlignment="1" applyProtection="1">
      <alignment horizontal="right" vertical="center"/>
      <protection locked="0"/>
    </xf>
    <xf numFmtId="0" fontId="28" fillId="7" borderId="0" xfId="0" applyFont="1" applyFill="1" applyAlignment="1">
      <alignment horizontal="left"/>
    </xf>
    <xf numFmtId="1" fontId="7" fillId="2" borderId="18" xfId="0" applyNumberFormat="1" applyFont="1" applyFill="1" applyBorder="1" applyAlignment="1" applyProtection="1">
      <alignment vertical="center"/>
      <protection locked="0"/>
    </xf>
    <xf numFmtId="1" fontId="7" fillId="2" borderId="16" xfId="0" applyNumberFormat="1" applyFont="1" applyFill="1" applyBorder="1" applyAlignment="1" applyProtection="1">
      <alignment vertical="center"/>
      <protection locked="0"/>
    </xf>
    <xf numFmtId="1" fontId="7" fillId="2" borderId="17" xfId="0" applyNumberFormat="1" applyFont="1" applyFill="1" applyBorder="1" applyAlignment="1" applyProtection="1">
      <alignment vertical="center"/>
      <protection locked="0"/>
    </xf>
    <xf numFmtId="0" fontId="7" fillId="2" borderId="0" xfId="0" applyFont="1" applyFill="1" applyAlignment="1" applyProtection="1">
      <alignment vertical="center" wrapText="1"/>
      <protection locked="0"/>
    </xf>
    <xf numFmtId="49" fontId="16" fillId="2" borderId="0" xfId="0" applyNumberFormat="1" applyFont="1" applyFill="1" applyAlignment="1">
      <alignment vertical="top"/>
    </xf>
    <xf numFmtId="0" fontId="31" fillId="12" borderId="4" xfId="0" applyFont="1" applyFill="1" applyBorder="1" applyAlignment="1">
      <alignment horizontal="center" wrapText="1"/>
    </xf>
    <xf numFmtId="0" fontId="31" fillId="12" borderId="26" xfId="0" applyFont="1" applyFill="1" applyBorder="1" applyAlignment="1">
      <alignment horizontal="center" wrapText="1"/>
    </xf>
    <xf numFmtId="0" fontId="31" fillId="12" borderId="5" xfId="0" applyFont="1" applyFill="1" applyBorder="1" applyAlignment="1">
      <alignment horizontal="center" vertical="center" wrapText="1"/>
    </xf>
    <xf numFmtId="0" fontId="34" fillId="0" borderId="0" xfId="0" applyFont="1"/>
    <xf numFmtId="0" fontId="34" fillId="0" borderId="0" xfId="0" applyFont="1" applyAlignment="1">
      <alignment vertical="center"/>
    </xf>
    <xf numFmtId="0" fontId="40" fillId="0" borderId="0" xfId="0" applyFont="1" applyAlignment="1">
      <alignment vertical="center"/>
    </xf>
    <xf numFmtId="0" fontId="34" fillId="0" borderId="0" xfId="0" applyFont="1" applyAlignment="1">
      <alignment vertical="center" wrapText="1"/>
    </xf>
    <xf numFmtId="1" fontId="7" fillId="7" borderId="10" xfId="0" applyNumberFormat="1" applyFont="1" applyFill="1" applyBorder="1" applyAlignment="1" applyProtection="1">
      <alignment horizontal="right" vertical="center"/>
      <protection locked="0"/>
    </xf>
    <xf numFmtId="1" fontId="7" fillId="7" borderId="11" xfId="0" applyNumberFormat="1" applyFont="1" applyFill="1" applyBorder="1" applyAlignment="1" applyProtection="1">
      <alignment horizontal="right" vertical="center"/>
      <protection locked="0"/>
    </xf>
    <xf numFmtId="1" fontId="7" fillId="7" borderId="12" xfId="0" applyNumberFormat="1" applyFont="1" applyFill="1" applyBorder="1" applyAlignment="1" applyProtection="1">
      <alignment horizontal="right" vertical="center"/>
      <protection locked="0"/>
    </xf>
    <xf numFmtId="1" fontId="7" fillId="7" borderId="9" xfId="0" applyNumberFormat="1" applyFont="1" applyFill="1" applyBorder="1" applyAlignment="1" applyProtection="1">
      <alignment horizontal="right" vertical="center"/>
      <protection locked="0"/>
    </xf>
    <xf numFmtId="1" fontId="7" fillId="7" borderId="1" xfId="0" applyNumberFormat="1" applyFont="1" applyFill="1" applyBorder="1" applyAlignment="1" applyProtection="1">
      <alignment horizontal="right" vertical="center"/>
      <protection locked="0"/>
    </xf>
    <xf numFmtId="1" fontId="7" fillId="7" borderId="16" xfId="0" applyNumberFormat="1" applyFont="1" applyFill="1" applyBorder="1" applyAlignment="1" applyProtection="1">
      <alignment horizontal="right" vertical="center"/>
      <protection locked="0"/>
    </xf>
    <xf numFmtId="0" fontId="7" fillId="6" borderId="18" xfId="0" applyFont="1" applyFill="1" applyBorder="1" applyAlignment="1" applyProtection="1">
      <alignment horizontal="left" vertical="center"/>
      <protection locked="0"/>
    </xf>
    <xf numFmtId="1" fontId="7" fillId="2" borderId="14" xfId="0" applyNumberFormat="1" applyFont="1" applyFill="1" applyBorder="1" applyAlignment="1" applyProtection="1">
      <alignment horizontal="right" vertical="center"/>
      <protection locked="0"/>
    </xf>
    <xf numFmtId="1" fontId="7" fillId="2" borderId="4" xfId="0" applyNumberFormat="1" applyFont="1" applyFill="1" applyBorder="1" applyAlignment="1" applyProtection="1">
      <alignment horizontal="right" vertical="center"/>
      <protection locked="0"/>
    </xf>
    <xf numFmtId="1" fontId="7" fillId="2" borderId="26" xfId="0" applyNumberFormat="1" applyFont="1" applyFill="1" applyBorder="1" applyAlignment="1" applyProtection="1">
      <alignment horizontal="right" vertical="center"/>
      <protection locked="0"/>
    </xf>
    <xf numFmtId="1" fontId="7" fillId="7" borderId="59" xfId="0" applyNumberFormat="1" applyFont="1" applyFill="1" applyBorder="1" applyAlignment="1" applyProtection="1">
      <alignment horizontal="right" vertical="center"/>
      <protection locked="0"/>
    </xf>
    <xf numFmtId="0" fontId="59" fillId="11" borderId="14" xfId="1" applyFont="1" applyFill="1" applyBorder="1" applyAlignment="1" applyProtection="1">
      <alignment horizontal="center" vertical="center" wrapText="1"/>
    </xf>
    <xf numFmtId="0" fontId="39" fillId="0" borderId="0" xfId="0" applyFont="1" applyAlignment="1">
      <alignment horizontal="left" vertical="top" indent="2"/>
    </xf>
    <xf numFmtId="0" fontId="34" fillId="0" borderId="0" xfId="0" applyFont="1" applyAlignment="1">
      <alignment horizontal="left" indent="2"/>
    </xf>
    <xf numFmtId="0" fontId="39" fillId="0" borderId="0" xfId="0" applyFont="1" applyAlignment="1">
      <alignment horizontal="left" vertical="top" indent="3"/>
    </xf>
    <xf numFmtId="0" fontId="34" fillId="0" borderId="0" xfId="0" applyFont="1" applyAlignment="1">
      <alignment horizontal="left" vertical="top" indent="3"/>
    </xf>
    <xf numFmtId="0" fontId="34" fillId="0" borderId="0" xfId="0" applyFont="1" applyAlignment="1">
      <alignment horizontal="left" vertical="top" wrapText="1" indent="3"/>
    </xf>
    <xf numFmtId="0" fontId="34" fillId="0" borderId="0" xfId="0" applyFont="1" applyAlignment="1">
      <alignment horizontal="left" indent="3"/>
    </xf>
    <xf numFmtId="0" fontId="36" fillId="0" borderId="0" xfId="0" applyFont="1" applyAlignment="1">
      <alignment horizontal="left" vertical="top" wrapText="1" indent="4"/>
    </xf>
    <xf numFmtId="0" fontId="39" fillId="0" borderId="0" xfId="0" applyFont="1" applyAlignment="1">
      <alignment horizontal="left" vertical="top" indent="4"/>
    </xf>
    <xf numFmtId="0" fontId="34" fillId="0" borderId="0" xfId="0" applyFont="1" applyAlignment="1">
      <alignment horizontal="left" vertical="top" indent="4"/>
    </xf>
    <xf numFmtId="0" fontId="50" fillId="0" borderId="0" xfId="0" applyFont="1" applyAlignment="1">
      <alignment horizontal="left" vertical="top" indent="4"/>
    </xf>
    <xf numFmtId="0" fontId="34" fillId="0" borderId="0" xfId="0" applyFont="1" applyAlignment="1">
      <alignment horizontal="left" vertical="top" wrapText="1" indent="4"/>
    </xf>
    <xf numFmtId="0" fontId="34" fillId="0" borderId="0" xfId="0" applyFont="1" applyAlignment="1">
      <alignment horizontal="left" indent="4"/>
    </xf>
    <xf numFmtId="0" fontId="34" fillId="0" borderId="0" xfId="2" applyFont="1" applyAlignment="1">
      <alignment horizontal="left" vertical="top" wrapText="1" indent="5"/>
    </xf>
    <xf numFmtId="0" fontId="34" fillId="0" borderId="0" xfId="0" applyFont="1" applyAlignment="1">
      <alignment horizontal="left" vertical="top" indent="5"/>
    </xf>
    <xf numFmtId="0" fontId="39" fillId="0" borderId="0" xfId="0" applyFont="1" applyAlignment="1">
      <alignment horizontal="left" vertical="top" indent="5"/>
    </xf>
    <xf numFmtId="0" fontId="34" fillId="0" borderId="0" xfId="2" applyFont="1" applyAlignment="1">
      <alignment horizontal="left" vertical="top" wrapText="1" indent="6"/>
    </xf>
    <xf numFmtId="0" fontId="56" fillId="0" borderId="0" xfId="0" applyFont="1" applyAlignment="1">
      <alignment horizontal="left" vertical="top" wrapText="1" indent="6"/>
    </xf>
    <xf numFmtId="0" fontId="39" fillId="0" borderId="0" xfId="0" applyFont="1" applyAlignment="1">
      <alignment horizontal="left" vertical="top" indent="6"/>
    </xf>
    <xf numFmtId="0" fontId="35" fillId="0" borderId="0" xfId="0" applyFont="1" applyAlignment="1">
      <alignment horizontal="left" vertical="top" indent="5"/>
    </xf>
    <xf numFmtId="49" fontId="39" fillId="0" borderId="0" xfId="0" applyNumberFormat="1" applyFont="1" applyAlignment="1">
      <alignment horizontal="left" vertical="top" wrapText="1" indent="6"/>
    </xf>
    <xf numFmtId="0" fontId="35" fillId="0" borderId="0" xfId="0" applyFont="1" applyAlignment="1">
      <alignment horizontal="left" vertical="top" wrapText="1" indent="5"/>
    </xf>
    <xf numFmtId="0" fontId="46" fillId="0" borderId="0" xfId="0" applyFont="1" applyAlignment="1">
      <alignment horizontal="left" vertical="top" wrapText="1" indent="5"/>
    </xf>
    <xf numFmtId="0" fontId="42" fillId="0" borderId="0" xfId="0" applyFont="1" applyAlignment="1">
      <alignment horizontal="left" vertical="top" indent="5"/>
    </xf>
    <xf numFmtId="0" fontId="34" fillId="0" borderId="0" xfId="0" applyFont="1" applyAlignment="1">
      <alignment horizontal="left" vertical="top" indent="6"/>
    </xf>
    <xf numFmtId="2" fontId="39" fillId="0" borderId="0" xfId="0" applyNumberFormat="1" applyFont="1" applyAlignment="1">
      <alignment horizontal="left" vertical="top" indent="6"/>
    </xf>
    <xf numFmtId="0" fontId="36" fillId="0" borderId="0" xfId="0" applyFont="1" applyAlignment="1">
      <alignment horizontal="left" vertical="top" wrapText="1" indent="6"/>
    </xf>
    <xf numFmtId="166" fontId="39" fillId="0" borderId="0" xfId="0" applyNumberFormat="1" applyFont="1" applyAlignment="1">
      <alignment horizontal="left" vertical="top" wrapText="1" indent="6"/>
    </xf>
    <xf numFmtId="1" fontId="39" fillId="0" borderId="0" xfId="0" applyNumberFormat="1" applyFont="1" applyAlignment="1">
      <alignment horizontal="left" vertical="top" wrapText="1" indent="6"/>
    </xf>
    <xf numFmtId="1" fontId="55" fillId="0" borderId="0" xfId="0" applyNumberFormat="1" applyFont="1" applyAlignment="1">
      <alignment horizontal="left" vertical="top" wrapText="1" indent="6"/>
    </xf>
    <xf numFmtId="2" fontId="39" fillId="0" borderId="0" xfId="0" applyNumberFormat="1" applyFont="1" applyAlignment="1">
      <alignment horizontal="left" vertical="top" wrapText="1" indent="6"/>
    </xf>
    <xf numFmtId="0" fontId="34" fillId="0" borderId="0" xfId="0" applyFont="1" applyAlignment="1">
      <alignment horizontal="left" vertical="center" indent="6"/>
    </xf>
    <xf numFmtId="0" fontId="34" fillId="0" borderId="0" xfId="0" applyFont="1" applyAlignment="1">
      <alignment horizontal="left" vertical="top" wrapText="1" indent="6"/>
    </xf>
    <xf numFmtId="0" fontId="39" fillId="0" borderId="0" xfId="0" applyFont="1" applyAlignment="1">
      <alignment horizontal="left" vertical="top" wrapText="1" indent="6"/>
    </xf>
    <xf numFmtId="0" fontId="34" fillId="0" borderId="0" xfId="0" applyFont="1" applyAlignment="1">
      <alignment horizontal="left" indent="6"/>
    </xf>
    <xf numFmtId="49" fontId="39" fillId="0" borderId="0" xfId="0" applyNumberFormat="1" applyFont="1" applyAlignment="1">
      <alignment horizontal="left" vertical="top" indent="6"/>
    </xf>
    <xf numFmtId="0" fontId="47" fillId="0" borderId="0" xfId="0" applyFont="1" applyAlignment="1">
      <alignment horizontal="left" vertical="top" indent="6"/>
    </xf>
    <xf numFmtId="0" fontId="50" fillId="0" borderId="0" xfId="0" applyFont="1" applyAlignment="1">
      <alignment horizontal="left" vertical="top" wrapText="1" indent="6"/>
    </xf>
    <xf numFmtId="0" fontId="61" fillId="2" borderId="0" xfId="1" applyFont="1" applyFill="1" applyAlignment="1" applyProtection="1">
      <alignment horizontal="center" vertical="center"/>
    </xf>
    <xf numFmtId="0" fontId="7" fillId="2" borderId="0" xfId="0" applyFont="1" applyFill="1" applyAlignment="1">
      <alignment horizontal="left" vertical="center" indent="2"/>
    </xf>
    <xf numFmtId="0" fontId="7" fillId="13" borderId="1" xfId="0" applyFont="1" applyFill="1" applyBorder="1" applyAlignment="1">
      <alignment horizontal="center" vertical="center"/>
    </xf>
    <xf numFmtId="0" fontId="62" fillId="14" borderId="0" xfId="0" applyFont="1" applyFill="1" applyAlignment="1">
      <alignment horizontal="center" vertical="center"/>
    </xf>
    <xf numFmtId="0" fontId="63" fillId="14" borderId="0" xfId="0" applyFont="1" applyFill="1" applyAlignment="1">
      <alignment horizontal="center" vertical="center" wrapText="1"/>
    </xf>
    <xf numFmtId="0" fontId="7" fillId="2" borderId="0" xfId="0" applyFont="1" applyFill="1" applyAlignment="1">
      <alignment horizontal="left" indent="2"/>
    </xf>
    <xf numFmtId="0" fontId="3" fillId="2" borderId="0" xfId="1" applyFill="1" applyAlignment="1" applyProtection="1">
      <alignment horizontal="center" vertical="center"/>
    </xf>
    <xf numFmtId="0" fontId="7" fillId="2" borderId="1" xfId="0" applyFont="1" applyFill="1" applyBorder="1" applyAlignment="1">
      <alignment horizontal="center" vertical="center" textRotation="90"/>
    </xf>
    <xf numFmtId="0" fontId="7" fillId="2" borderId="1" xfId="0" applyFont="1" applyFill="1" applyBorder="1" applyAlignment="1">
      <alignment horizontal="center" vertical="center"/>
    </xf>
    <xf numFmtId="0" fontId="7" fillId="2" borderId="1" xfId="0" applyFont="1" applyFill="1" applyBorder="1" applyAlignment="1">
      <alignment horizontal="left" vertical="center" indent="2"/>
    </xf>
    <xf numFmtId="0" fontId="7" fillId="14" borderId="1" xfId="0" applyFont="1" applyFill="1" applyBorder="1" applyAlignment="1">
      <alignment horizontal="center" vertical="center"/>
    </xf>
    <xf numFmtId="0" fontId="7" fillId="8" borderId="1" xfId="0" applyFont="1" applyFill="1" applyBorder="1" applyAlignment="1">
      <alignment horizontal="left" vertical="center" indent="2"/>
    </xf>
    <xf numFmtId="0" fontId="3" fillId="2" borderId="0" xfId="1" applyFill="1" applyAlignment="1" applyProtection="1">
      <alignment horizontal="center"/>
    </xf>
    <xf numFmtId="0" fontId="3" fillId="2" borderId="0" xfId="1" applyFill="1" applyAlignment="1" applyProtection="1">
      <alignment vertical="center"/>
    </xf>
    <xf numFmtId="0" fontId="7" fillId="2" borderId="1" xfId="0" applyFont="1" applyFill="1" applyBorder="1" applyAlignment="1">
      <alignment horizontal="center"/>
    </xf>
    <xf numFmtId="0" fontId="7" fillId="15" borderId="1" xfId="0" applyFont="1" applyFill="1" applyBorder="1" applyAlignment="1">
      <alignment horizontal="center" vertical="center"/>
    </xf>
    <xf numFmtId="167" fontId="64" fillId="16" borderId="1" xfId="0" applyNumberFormat="1" applyFont="1" applyFill="1" applyBorder="1" applyAlignment="1">
      <alignment horizontal="right" vertical="center" indent="2"/>
    </xf>
    <xf numFmtId="168" fontId="64" fillId="16" borderId="1" xfId="0" applyNumberFormat="1" applyFont="1" applyFill="1" applyBorder="1" applyAlignment="1">
      <alignment horizontal="right" vertical="center" indent="2"/>
    </xf>
    <xf numFmtId="169" fontId="64" fillId="16" borderId="1" xfId="0" applyNumberFormat="1" applyFont="1" applyFill="1" applyBorder="1" applyAlignment="1">
      <alignment horizontal="right" vertical="center" indent="2"/>
    </xf>
    <xf numFmtId="0" fontId="7" fillId="2" borderId="1" xfId="0" applyFont="1" applyFill="1" applyBorder="1" applyAlignment="1">
      <alignment horizontal="left" indent="2"/>
    </xf>
    <xf numFmtId="170" fontId="64" fillId="16" borderId="1" xfId="0" applyNumberFormat="1" applyFont="1" applyFill="1" applyBorder="1" applyAlignment="1">
      <alignment horizontal="right" vertical="center" indent="2"/>
    </xf>
    <xf numFmtId="0" fontId="45" fillId="0" borderId="0" xfId="0" applyFont="1" applyAlignment="1">
      <alignment horizontal="left" vertical="center" wrapText="1"/>
    </xf>
    <xf numFmtId="0" fontId="65" fillId="2" borderId="0" xfId="0" applyFont="1" applyFill="1" applyAlignment="1">
      <alignment vertical="center"/>
    </xf>
    <xf numFmtId="0" fontId="45" fillId="0" borderId="0" xfId="0" applyFont="1" applyAlignment="1">
      <alignment horizontal="center" vertical="top" wrapText="1"/>
    </xf>
    <xf numFmtId="0" fontId="7" fillId="2" borderId="0" xfId="0" applyFont="1" applyFill="1" applyAlignment="1">
      <alignment horizontal="center" vertical="center" wrapText="1"/>
    </xf>
    <xf numFmtId="0" fontId="61" fillId="2" borderId="0" xfId="1" applyFont="1" applyFill="1" applyBorder="1" applyAlignment="1" applyProtection="1">
      <alignment horizontal="right" vertical="center"/>
    </xf>
    <xf numFmtId="171" fontId="60" fillId="16" borderId="1" xfId="0" applyNumberFormat="1" applyFont="1" applyFill="1" applyBorder="1" applyAlignment="1">
      <alignment horizontal="right" vertical="center"/>
    </xf>
    <xf numFmtId="172" fontId="60" fillId="16" borderId="1" xfId="0" applyNumberFormat="1" applyFont="1" applyFill="1" applyBorder="1" applyAlignment="1">
      <alignment horizontal="right" vertical="center"/>
    </xf>
    <xf numFmtId="0" fontId="7" fillId="17" borderId="1" xfId="0" applyFont="1" applyFill="1" applyBorder="1" applyAlignment="1">
      <alignment horizontal="left" vertical="center" indent="2"/>
    </xf>
    <xf numFmtId="0" fontId="7" fillId="2" borderId="1" xfId="0" applyFont="1" applyFill="1" applyBorder="1" applyAlignment="1">
      <alignment horizontal="left" vertical="center" wrapText="1" indent="2"/>
    </xf>
    <xf numFmtId="0" fontId="60" fillId="2" borderId="0" xfId="0" applyFont="1" applyFill="1" applyAlignment="1">
      <alignment horizontal="left" vertical="center"/>
    </xf>
    <xf numFmtId="0" fontId="60" fillId="2" borderId="0" xfId="0" applyFont="1" applyFill="1" applyAlignment="1">
      <alignment horizontal="left" vertical="top"/>
    </xf>
    <xf numFmtId="164" fontId="5" fillId="4" borderId="15" xfId="0" applyNumberFormat="1" applyFont="1" applyFill="1" applyBorder="1" applyAlignment="1" applyProtection="1">
      <alignment horizontal="right" vertical="center"/>
      <protection locked="0"/>
    </xf>
    <xf numFmtId="0" fontId="7" fillId="2" borderId="35" xfId="0" applyFont="1" applyFill="1" applyBorder="1" applyAlignment="1">
      <alignment horizontal="center" vertical="center"/>
    </xf>
    <xf numFmtId="0" fontId="7" fillId="14" borderId="35" xfId="0" applyFont="1" applyFill="1" applyBorder="1" applyAlignment="1">
      <alignment horizontal="center" vertical="center"/>
    </xf>
    <xf numFmtId="0" fontId="7" fillId="9" borderId="35" xfId="0" applyFont="1" applyFill="1" applyBorder="1" applyAlignment="1">
      <alignment horizontal="center" vertical="center"/>
    </xf>
    <xf numFmtId="0" fontId="7" fillId="14" borderId="35" xfId="0" applyFont="1" applyFill="1" applyBorder="1" applyAlignment="1">
      <alignment horizontal="center" vertical="center" wrapText="1"/>
    </xf>
    <xf numFmtId="0" fontId="7" fillId="18" borderId="35" xfId="0" applyFont="1" applyFill="1" applyBorder="1" applyAlignment="1">
      <alignment horizontal="center" vertical="center"/>
    </xf>
    <xf numFmtId="0" fontId="7" fillId="2" borderId="25" xfId="0" applyFont="1" applyFill="1" applyBorder="1"/>
    <xf numFmtId="0" fontId="7" fillId="2" borderId="25" xfId="0" applyFont="1" applyFill="1" applyBorder="1" applyAlignment="1">
      <alignment vertical="center"/>
    </xf>
    <xf numFmtId="0" fontId="7" fillId="2" borderId="60" xfId="0" applyFont="1" applyFill="1" applyBorder="1"/>
    <xf numFmtId="0" fontId="7" fillId="2" borderId="61" xfId="0" applyFont="1" applyFill="1" applyBorder="1" applyAlignment="1">
      <alignment vertical="center"/>
    </xf>
    <xf numFmtId="0" fontId="7" fillId="2" borderId="61" xfId="0" applyFont="1" applyFill="1" applyBorder="1" applyAlignment="1">
      <alignment vertical="center" wrapText="1"/>
    </xf>
    <xf numFmtId="0" fontId="7" fillId="2" borderId="1" xfId="0" quotePrefix="1" applyFont="1" applyFill="1" applyBorder="1" applyAlignment="1">
      <alignment horizontal="left" vertical="center" wrapText="1" indent="2"/>
    </xf>
    <xf numFmtId="0" fontId="7" fillId="2" borderId="35" xfId="0" quotePrefix="1" applyFont="1" applyFill="1" applyBorder="1" applyAlignment="1">
      <alignment horizontal="center" vertical="center"/>
    </xf>
    <xf numFmtId="0" fontId="7" fillId="2" borderId="61" xfId="0" quotePrefix="1" applyFont="1" applyFill="1" applyBorder="1" applyAlignment="1">
      <alignment vertical="center"/>
    </xf>
    <xf numFmtId="0" fontId="69" fillId="0" borderId="0" xfId="0" applyFont="1" applyAlignment="1">
      <alignment horizontal="center"/>
    </xf>
    <xf numFmtId="1" fontId="7" fillId="2" borderId="5" xfId="0" applyNumberFormat="1" applyFont="1" applyFill="1" applyBorder="1" applyAlignment="1" applyProtection="1">
      <alignment horizontal="center" vertical="center"/>
      <protection locked="0"/>
    </xf>
    <xf numFmtId="0" fontId="70" fillId="0" borderId="0" xfId="0" applyFont="1" applyAlignment="1">
      <alignment horizontal="right"/>
    </xf>
    <xf numFmtId="0" fontId="7" fillId="2" borderId="35" xfId="0" applyFont="1" applyFill="1" applyBorder="1" applyAlignment="1">
      <alignment horizontal="left" vertical="center" indent="2"/>
    </xf>
    <xf numFmtId="0" fontId="7" fillId="2" borderId="31" xfId="0" applyFont="1" applyFill="1" applyBorder="1"/>
    <xf numFmtId="0" fontId="7" fillId="14" borderId="35" xfId="0" applyFont="1" applyFill="1" applyBorder="1" applyAlignment="1">
      <alignment horizontal="left" vertical="center" indent="2"/>
    </xf>
    <xf numFmtId="0" fontId="7" fillId="2" borderId="25" xfId="0" applyFont="1" applyFill="1" applyBorder="1" applyAlignment="1">
      <alignment horizontal="center" vertical="center"/>
    </xf>
    <xf numFmtId="0" fontId="4" fillId="0" borderId="0" xfId="0" applyFont="1"/>
    <xf numFmtId="0" fontId="7" fillId="21" borderId="1" xfId="0" applyFont="1" applyFill="1" applyBorder="1" applyAlignment="1">
      <alignment horizontal="center" vertical="center"/>
    </xf>
    <xf numFmtId="0" fontId="7" fillId="22" borderId="1" xfId="0" applyFont="1" applyFill="1" applyBorder="1" applyAlignment="1">
      <alignment horizontal="center" vertical="center"/>
    </xf>
    <xf numFmtId="1" fontId="7" fillId="2" borderId="10" xfId="0" applyNumberFormat="1" applyFont="1" applyFill="1" applyBorder="1" applyAlignment="1" applyProtection="1">
      <alignment horizontal="center" vertical="center"/>
      <protection locked="0"/>
    </xf>
    <xf numFmtId="1" fontId="7" fillId="7" borderId="12" xfId="0" applyNumberFormat="1" applyFont="1" applyFill="1" applyBorder="1" applyAlignment="1" applyProtection="1">
      <alignment horizontal="center" vertical="center"/>
      <protection locked="0"/>
    </xf>
    <xf numFmtId="0" fontId="25" fillId="0" borderId="0" xfId="0" applyFont="1" applyAlignment="1">
      <alignment horizontal="center" vertical="center" wrapText="1"/>
    </xf>
    <xf numFmtId="0" fontId="7" fillId="2" borderId="0" xfId="0" applyFont="1" applyFill="1" applyAlignment="1">
      <alignment horizontal="right" vertical="center"/>
    </xf>
    <xf numFmtId="0" fontId="7" fillId="17" borderId="1" xfId="0" applyFont="1" applyFill="1" applyBorder="1" applyAlignment="1">
      <alignment vertical="center"/>
    </xf>
    <xf numFmtId="0" fontId="5" fillId="20" borderId="0" xfId="0" applyFont="1" applyFill="1" applyAlignment="1">
      <alignment vertical="center"/>
    </xf>
    <xf numFmtId="0" fontId="7" fillId="23" borderId="0" xfId="0" applyFont="1" applyFill="1" applyAlignment="1">
      <alignment vertical="center"/>
    </xf>
    <xf numFmtId="0" fontId="7" fillId="23" borderId="0" xfId="0" applyFont="1" applyFill="1" applyAlignment="1">
      <alignment horizontal="right" vertical="center"/>
    </xf>
    <xf numFmtId="0" fontId="7" fillId="24" borderId="0" xfId="0" applyFont="1" applyFill="1" applyAlignment="1">
      <alignment vertical="center"/>
    </xf>
    <xf numFmtId="0" fontId="71" fillId="0" borderId="0" xfId="1" applyFont="1" applyAlignment="1" applyProtection="1">
      <alignment vertical="center"/>
    </xf>
    <xf numFmtId="0" fontId="4" fillId="0" borderId="0" xfId="0" applyFont="1" applyAlignment="1">
      <alignment vertical="center"/>
    </xf>
    <xf numFmtId="0" fontId="7" fillId="17" borderId="8" xfId="0" applyFont="1" applyFill="1" applyBorder="1" applyAlignment="1">
      <alignment horizontal="center" vertical="center"/>
    </xf>
    <xf numFmtId="0" fontId="7" fillId="17" borderId="20" xfId="0" applyFont="1" applyFill="1" applyBorder="1" applyAlignment="1">
      <alignment horizontal="center" vertical="center"/>
    </xf>
    <xf numFmtId="0" fontId="7" fillId="17" borderId="18" xfId="0" applyFont="1" applyFill="1" applyBorder="1" applyAlignment="1">
      <alignment horizontal="center" vertical="center"/>
    </xf>
    <xf numFmtId="0" fontId="7" fillId="24" borderId="7" xfId="0" applyFont="1" applyFill="1" applyBorder="1" applyAlignment="1">
      <alignment vertical="center"/>
    </xf>
    <xf numFmtId="0" fontId="7" fillId="24" borderId="2" xfId="0" applyFont="1" applyFill="1" applyBorder="1" applyAlignment="1">
      <alignment vertical="center"/>
    </xf>
    <xf numFmtId="0" fontId="7" fillId="20" borderId="15" xfId="0" applyFont="1" applyFill="1" applyBorder="1" applyAlignment="1">
      <alignment horizontal="left" vertical="center"/>
    </xf>
    <xf numFmtId="0" fontId="7" fillId="20" borderId="21" xfId="0" applyFont="1" applyFill="1" applyBorder="1" applyAlignment="1">
      <alignment horizontal="left" vertical="center"/>
    </xf>
    <xf numFmtId="0" fontId="7" fillId="20" borderId="17" xfId="0" applyFont="1" applyFill="1" applyBorder="1" applyAlignment="1">
      <alignment horizontal="left" vertical="center"/>
    </xf>
    <xf numFmtId="0" fontId="7" fillId="27" borderId="0" xfId="0" applyFont="1" applyFill="1" applyAlignment="1">
      <alignment vertical="center"/>
    </xf>
    <xf numFmtId="0" fontId="0" fillId="27" borderId="0" xfId="0" applyFill="1"/>
    <xf numFmtId="0" fontId="7" fillId="28" borderId="0" xfId="0" applyFont="1" applyFill="1" applyAlignment="1">
      <alignment vertical="center"/>
    </xf>
    <xf numFmtId="0" fontId="7" fillId="28" borderId="0" xfId="0" applyFont="1" applyFill="1" applyAlignment="1">
      <alignment horizontal="center" vertical="center"/>
    </xf>
    <xf numFmtId="0" fontId="0" fillId="29" borderId="9" xfId="0" applyFill="1" applyBorder="1" applyAlignment="1">
      <alignment horizontal="left" vertical="center"/>
    </xf>
    <xf numFmtId="0" fontId="0" fillId="29" borderId="1" xfId="0" applyFill="1" applyBorder="1" applyAlignment="1">
      <alignment horizontal="left" vertical="center"/>
    </xf>
    <xf numFmtId="0" fontId="0" fillId="29" borderId="16" xfId="0" applyFill="1" applyBorder="1" applyAlignment="1">
      <alignment horizontal="left" vertical="center"/>
    </xf>
    <xf numFmtId="0" fontId="0" fillId="29" borderId="30" xfId="0" applyFill="1" applyBorder="1" applyAlignment="1">
      <alignment horizontal="left" vertical="center"/>
    </xf>
    <xf numFmtId="0" fontId="7" fillId="24" borderId="0" xfId="0" applyFont="1" applyFill="1" applyAlignment="1">
      <alignment horizontal="right" vertical="center"/>
    </xf>
    <xf numFmtId="0" fontId="7" fillId="17" borderId="0" xfId="0" applyFont="1" applyFill="1" applyAlignment="1">
      <alignment vertical="center"/>
    </xf>
    <xf numFmtId="0" fontId="7" fillId="6" borderId="0" xfId="0" applyFont="1" applyFill="1" applyAlignment="1">
      <alignment horizontal="right" vertical="center"/>
    </xf>
    <xf numFmtId="0" fontId="7" fillId="6" borderId="0" xfId="0" quotePrefix="1" applyFont="1" applyFill="1" applyAlignment="1">
      <alignment horizontal="right" vertical="center"/>
    </xf>
    <xf numFmtId="0" fontId="7" fillId="2" borderId="0" xfId="0" quotePrefix="1" applyFont="1" applyFill="1" applyAlignment="1">
      <alignment horizontal="right" vertical="center"/>
    </xf>
    <xf numFmtId="0" fontId="4" fillId="0" borderId="0" xfId="0" quotePrefix="1" applyFont="1" applyAlignment="1">
      <alignment horizontal="right" vertical="center"/>
    </xf>
    <xf numFmtId="0" fontId="7" fillId="17" borderId="15" xfId="0" applyFont="1" applyFill="1" applyBorder="1" applyAlignment="1">
      <alignment horizontal="center" vertical="center"/>
    </xf>
    <xf numFmtId="0" fontId="7" fillId="17" borderId="21" xfId="0" applyFont="1" applyFill="1" applyBorder="1" applyAlignment="1">
      <alignment horizontal="center" vertical="center"/>
    </xf>
    <xf numFmtId="0" fontId="7" fillId="17" borderId="17" xfId="0" applyFont="1" applyFill="1" applyBorder="1" applyAlignment="1">
      <alignment horizontal="center" vertical="center"/>
    </xf>
    <xf numFmtId="0" fontId="63" fillId="25" borderId="10" xfId="0" applyFont="1" applyFill="1" applyBorder="1" applyAlignment="1">
      <alignment horizontal="center" vertical="center"/>
    </xf>
    <xf numFmtId="0" fontId="63" fillId="25" borderId="11" xfId="0" applyFont="1" applyFill="1" applyBorder="1" applyAlignment="1">
      <alignment horizontal="center" vertical="center"/>
    </xf>
    <xf numFmtId="0" fontId="72" fillId="26" borderId="11" xfId="0" applyFont="1" applyFill="1" applyBorder="1" applyAlignment="1">
      <alignment horizontal="center" vertical="center"/>
    </xf>
    <xf numFmtId="0" fontId="63" fillId="25" borderId="12" xfId="0" applyFont="1" applyFill="1" applyBorder="1" applyAlignment="1">
      <alignment horizontal="center" vertical="center"/>
    </xf>
    <xf numFmtId="0" fontId="7" fillId="2" borderId="0" xfId="0" applyFont="1" applyFill="1" applyAlignment="1">
      <alignment horizontal="right"/>
    </xf>
    <xf numFmtId="0" fontId="8" fillId="0" borderId="0" xfId="0" applyFont="1" applyAlignment="1">
      <alignment horizontal="left"/>
    </xf>
    <xf numFmtId="0" fontId="7" fillId="2" borderId="0" xfId="0" quotePrefix="1" applyFont="1" applyFill="1"/>
    <xf numFmtId="0" fontId="7" fillId="2" borderId="62" xfId="0" applyFont="1" applyFill="1" applyBorder="1"/>
    <xf numFmtId="174" fontId="7" fillId="17" borderId="0" xfId="0" applyNumberFormat="1" applyFont="1" applyFill="1" applyAlignment="1">
      <alignment horizontal="center" vertical="center"/>
    </xf>
    <xf numFmtId="1" fontId="27" fillId="2" borderId="0" xfId="0" applyNumberFormat="1" applyFont="1" applyFill="1" applyAlignment="1">
      <alignment horizontal="left" vertical="center" indent="5"/>
    </xf>
    <xf numFmtId="0" fontId="73" fillId="2" borderId="0" xfId="0" applyFont="1" applyFill="1" applyAlignment="1">
      <alignment horizontal="center" vertical="center"/>
    </xf>
    <xf numFmtId="0" fontId="73" fillId="2" borderId="0" xfId="0" quotePrefix="1" applyFont="1" applyFill="1" applyAlignment="1">
      <alignment horizontal="center" vertical="center"/>
    </xf>
    <xf numFmtId="0" fontId="73" fillId="2" borderId="0" xfId="0" applyFont="1" applyFill="1" applyAlignment="1">
      <alignment horizontal="left" vertical="center"/>
    </xf>
    <xf numFmtId="0" fontId="16" fillId="2" borderId="0" xfId="0" applyFont="1" applyFill="1" applyAlignment="1">
      <alignment wrapText="1"/>
    </xf>
    <xf numFmtId="0" fontId="59" fillId="11" borderId="14" xfId="1" applyFont="1" applyFill="1" applyBorder="1" applyAlignment="1" applyProtection="1">
      <alignment horizontal="center" vertical="top" wrapText="1"/>
    </xf>
    <xf numFmtId="0" fontId="30" fillId="2" borderId="0" xfId="0" quotePrefix="1" applyFont="1" applyFill="1" applyAlignment="1">
      <alignment horizontal="left" vertical="center" indent="1"/>
    </xf>
    <xf numFmtId="1" fontId="7" fillId="6" borderId="10" xfId="0" applyNumberFormat="1" applyFont="1" applyFill="1" applyBorder="1" applyAlignment="1" applyProtection="1">
      <alignment horizontal="right" vertical="center"/>
      <protection locked="0"/>
    </xf>
    <xf numFmtId="175" fontId="60" fillId="17" borderId="0" xfId="0" applyNumberFormat="1" applyFont="1" applyFill="1" applyAlignment="1">
      <alignment horizontal="center" vertical="center"/>
    </xf>
    <xf numFmtId="176" fontId="60" fillId="17" borderId="0" xfId="0" applyNumberFormat="1" applyFont="1" applyFill="1" applyAlignment="1">
      <alignment horizontal="center" vertical="center"/>
    </xf>
    <xf numFmtId="0" fontId="74" fillId="30" borderId="0" xfId="4" applyAlignment="1" applyProtection="1">
      <alignment horizontal="center" vertical="center" wrapText="1"/>
    </xf>
    <xf numFmtId="0" fontId="7" fillId="6" borderId="35" xfId="0" applyFont="1" applyFill="1" applyBorder="1" applyAlignment="1">
      <alignment horizontal="center" vertical="center"/>
    </xf>
    <xf numFmtId="0" fontId="7" fillId="8" borderId="1" xfId="0" applyFont="1" applyFill="1" applyBorder="1" applyAlignment="1">
      <alignment horizontal="center" vertical="center"/>
    </xf>
    <xf numFmtId="0" fontId="7" fillId="2" borderId="0" xfId="0" applyFont="1" applyFill="1" applyAlignment="1" applyProtection="1">
      <alignment vertical="center"/>
      <protection hidden="1"/>
    </xf>
    <xf numFmtId="0" fontId="73" fillId="2" borderId="0" xfId="0" quotePrefix="1" applyFont="1" applyFill="1" applyAlignment="1" applyProtection="1">
      <alignment horizontal="left" vertical="center"/>
      <protection hidden="1"/>
    </xf>
    <xf numFmtId="0" fontId="30" fillId="2" borderId="0" xfId="0" quotePrefix="1" applyFont="1" applyFill="1" applyAlignment="1" applyProtection="1">
      <alignment horizontal="left" vertical="center" indent="1"/>
      <protection hidden="1"/>
    </xf>
    <xf numFmtId="0" fontId="7" fillId="6" borderId="0" xfId="0" applyFont="1" applyFill="1" applyAlignment="1" applyProtection="1">
      <alignment vertical="center"/>
      <protection hidden="1"/>
    </xf>
    <xf numFmtId="0" fontId="3" fillId="2" borderId="0" xfId="1" applyFill="1" applyAlignment="1" applyProtection="1"/>
    <xf numFmtId="0" fontId="7" fillId="14" borderId="35" xfId="0" quotePrefix="1" applyFont="1" applyFill="1" applyBorder="1" applyAlignment="1">
      <alignment horizontal="center" vertical="center"/>
    </xf>
    <xf numFmtId="0" fontId="75" fillId="2" borderId="0" xfId="0" applyFont="1" applyFill="1" applyAlignment="1">
      <alignment vertical="center"/>
    </xf>
    <xf numFmtId="0" fontId="64" fillId="2" borderId="0" xfId="0" applyFont="1" applyFill="1"/>
    <xf numFmtId="0" fontId="7" fillId="31" borderId="1" xfId="0" applyFont="1" applyFill="1" applyBorder="1" applyAlignment="1">
      <alignment horizontal="left" vertical="center" indent="2"/>
    </xf>
    <xf numFmtId="0" fontId="74" fillId="30" borderId="0" xfId="4" applyAlignment="1" applyProtection="1">
      <alignment horizontal="right" vertical="center"/>
    </xf>
    <xf numFmtId="0" fontId="7" fillId="2" borderId="1" xfId="0" quotePrefix="1" applyFont="1" applyFill="1" applyBorder="1" applyAlignment="1">
      <alignment horizontal="left" vertical="center" indent="2"/>
    </xf>
    <xf numFmtId="0" fontId="7" fillId="14" borderId="10" xfId="0" applyFont="1" applyFill="1" applyBorder="1" applyAlignment="1">
      <alignment horizontal="center" vertical="center"/>
    </xf>
    <xf numFmtId="0" fontId="7" fillId="14" borderId="46" xfId="0" applyFont="1" applyFill="1" applyBorder="1" applyAlignment="1">
      <alignment horizontal="center" vertical="center"/>
    </xf>
    <xf numFmtId="0" fontId="7" fillId="2" borderId="27" xfId="0" applyFont="1" applyFill="1" applyBorder="1"/>
    <xf numFmtId="0" fontId="7" fillId="2" borderId="46" xfId="0" applyFont="1" applyFill="1" applyBorder="1" applyProtection="1">
      <protection locked="0"/>
    </xf>
    <xf numFmtId="0" fontId="7" fillId="32" borderId="64" xfId="0" applyFont="1" applyFill="1" applyBorder="1" applyAlignment="1">
      <alignment horizontal="center"/>
    </xf>
    <xf numFmtId="0" fontId="7" fillId="32" borderId="64" xfId="0" applyFont="1" applyFill="1" applyBorder="1" applyAlignment="1">
      <alignment horizontal="center" wrapText="1"/>
    </xf>
    <xf numFmtId="0" fontId="7" fillId="32" borderId="70" xfId="0" applyFont="1" applyFill="1" applyBorder="1" applyAlignment="1">
      <alignment horizontal="center"/>
    </xf>
    <xf numFmtId="0" fontId="7" fillId="14" borderId="25" xfId="0" applyFont="1" applyFill="1" applyBorder="1" applyAlignment="1">
      <alignment horizontal="center" vertical="center"/>
    </xf>
    <xf numFmtId="0" fontId="3" fillId="2" borderId="71" xfId="1" applyFill="1" applyBorder="1" applyAlignment="1" applyProtection="1"/>
    <xf numFmtId="0" fontId="7" fillId="2" borderId="71" xfId="0" applyFont="1" applyFill="1" applyBorder="1"/>
    <xf numFmtId="0" fontId="7" fillId="2" borderId="71" xfId="0" applyFont="1" applyFill="1" applyBorder="1" applyAlignment="1">
      <alignment vertical="center"/>
    </xf>
    <xf numFmtId="0" fontId="67" fillId="19" borderId="71" xfId="3" applyBorder="1" applyAlignment="1" applyProtection="1">
      <alignment vertical="center"/>
    </xf>
    <xf numFmtId="0" fontId="9" fillId="0" borderId="71" xfId="0" applyFont="1" applyBorder="1"/>
    <xf numFmtId="0" fontId="11" fillId="2" borderId="71" xfId="0" applyFont="1" applyFill="1" applyBorder="1" applyAlignment="1">
      <alignment vertical="center"/>
    </xf>
    <xf numFmtId="0" fontId="7" fillId="6" borderId="71" xfId="0" applyFont="1" applyFill="1" applyBorder="1" applyAlignment="1">
      <alignment vertical="center"/>
    </xf>
    <xf numFmtId="0" fontId="75" fillId="2" borderId="0" xfId="0" applyFont="1" applyFill="1" applyAlignment="1">
      <alignment horizontal="center" vertical="center" wrapText="1"/>
    </xf>
    <xf numFmtId="164" fontId="76" fillId="10" borderId="9" xfId="0" applyNumberFormat="1" applyFont="1" applyFill="1" applyBorder="1" applyAlignment="1">
      <alignment horizontal="right" vertical="center"/>
    </xf>
    <xf numFmtId="0" fontId="7" fillId="33" borderId="1" xfId="0" applyFont="1" applyFill="1" applyBorder="1" applyAlignment="1">
      <alignment horizontal="center" vertical="center"/>
    </xf>
    <xf numFmtId="0" fontId="0" fillId="0" borderId="4"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164" fontId="77" fillId="34" borderId="9" xfId="0" applyNumberFormat="1" applyFont="1" applyFill="1" applyBorder="1" applyAlignment="1">
      <alignment horizontal="right" vertical="center"/>
    </xf>
    <xf numFmtId="0" fontId="0" fillId="0" borderId="72" xfId="0" applyBorder="1"/>
    <xf numFmtId="0" fontId="7" fillId="6" borderId="72" xfId="0" applyFont="1" applyFill="1" applyBorder="1" applyAlignment="1">
      <alignment vertical="center"/>
    </xf>
    <xf numFmtId="0" fontId="7" fillId="2" borderId="72" xfId="0" applyFont="1" applyFill="1" applyBorder="1" applyAlignment="1">
      <alignment vertical="center"/>
    </xf>
    <xf numFmtId="0" fontId="50" fillId="6" borderId="2" xfId="0" applyFont="1" applyFill="1" applyBorder="1" applyAlignment="1">
      <alignment horizontal="center" vertical="center"/>
    </xf>
    <xf numFmtId="0" fontId="78" fillId="0" borderId="0" xfId="0" applyFont="1"/>
    <xf numFmtId="173" fontId="5" fillId="11" borderId="14" xfId="0" applyNumberFormat="1" applyFont="1" applyFill="1" applyBorder="1" applyAlignment="1">
      <alignment horizontal="right" wrapText="1" indent="1"/>
    </xf>
    <xf numFmtId="173" fontId="5" fillId="11" borderId="14" xfId="0" applyNumberFormat="1" applyFont="1" applyFill="1" applyBorder="1" applyAlignment="1">
      <alignment horizontal="right" vertical="center" wrapText="1" indent="1"/>
    </xf>
    <xf numFmtId="1" fontId="13" fillId="17" borderId="49" xfId="0" applyNumberFormat="1" applyFont="1" applyFill="1" applyBorder="1" applyAlignment="1" applyProtection="1">
      <alignment horizontal="center" vertical="center"/>
      <protection locked="0"/>
    </xf>
    <xf numFmtId="0" fontId="79" fillId="2" borderId="0" xfId="0" applyFont="1" applyFill="1" applyAlignment="1">
      <alignment horizontal="center" vertical="center"/>
    </xf>
    <xf numFmtId="1" fontId="5" fillId="0" borderId="0" xfId="0" applyNumberFormat="1" applyFont="1" applyAlignment="1">
      <alignment horizontal="center" vertical="center"/>
    </xf>
    <xf numFmtId="1" fontId="13" fillId="0" borderId="14" xfId="0" applyNumberFormat="1" applyFont="1" applyBorder="1" applyAlignment="1" applyProtection="1">
      <alignment horizontal="right" vertical="center"/>
      <protection locked="0"/>
    </xf>
    <xf numFmtId="0" fontId="23" fillId="0" borderId="0" xfId="0" applyFont="1" applyAlignment="1">
      <alignment horizontal="left" vertical="center" wrapText="1" indent="1"/>
    </xf>
    <xf numFmtId="0" fontId="68" fillId="2" borderId="0" xfId="0" applyFont="1" applyFill="1" applyAlignment="1">
      <alignment horizontal="left" vertical="center"/>
    </xf>
    <xf numFmtId="0" fontId="7" fillId="2" borderId="0" xfId="0" applyFont="1" applyFill="1" applyAlignment="1">
      <alignment horizontal="left"/>
    </xf>
    <xf numFmtId="0" fontId="3" fillId="2" borderId="0" xfId="1" applyFill="1" applyAlignment="1" applyProtection="1">
      <alignment horizontal="left" vertical="top"/>
    </xf>
    <xf numFmtId="0" fontId="3" fillId="6" borderId="0" xfId="1" applyFill="1" applyAlignment="1" applyProtection="1">
      <alignment horizontal="left" vertical="top" wrapText="1"/>
    </xf>
    <xf numFmtId="0" fontId="3" fillId="6" borderId="0" xfId="1" applyFill="1" applyAlignment="1" applyProtection="1">
      <alignment horizontal="left" vertical="top"/>
    </xf>
    <xf numFmtId="0" fontId="5" fillId="31" borderId="66" xfId="0" applyFont="1" applyFill="1" applyBorder="1" applyAlignment="1">
      <alignment horizontal="center" vertical="center"/>
    </xf>
    <xf numFmtId="0" fontId="5" fillId="31" borderId="69" xfId="0" applyFont="1" applyFill="1" applyBorder="1" applyAlignment="1">
      <alignment horizontal="center" vertical="center"/>
    </xf>
    <xf numFmtId="177" fontId="7" fillId="32" borderId="67" xfId="0" applyNumberFormat="1" applyFont="1" applyFill="1" applyBorder="1" applyAlignment="1">
      <alignment horizontal="left" vertical="center"/>
    </xf>
    <xf numFmtId="177" fontId="7" fillId="32" borderId="68" xfId="0" applyNumberFormat="1" applyFont="1" applyFill="1" applyBorder="1" applyAlignment="1">
      <alignment horizontal="left" vertical="center"/>
    </xf>
    <xf numFmtId="0" fontId="27" fillId="2" borderId="0" xfId="0" applyFont="1" applyFill="1" applyAlignment="1">
      <alignment horizontal="left" vertical="center" indent="1"/>
    </xf>
    <xf numFmtId="0" fontId="27" fillId="2" borderId="0" xfId="0" applyFont="1" applyFill="1" applyAlignment="1">
      <alignment horizontal="center" vertical="center" wrapText="1"/>
    </xf>
    <xf numFmtId="0" fontId="27" fillId="2" borderId="0" xfId="0" applyFont="1" applyFill="1" applyAlignment="1">
      <alignment vertical="center"/>
    </xf>
    <xf numFmtId="0" fontId="80" fillId="0" borderId="0" xfId="1" applyFont="1" applyBorder="1" applyAlignment="1" applyProtection="1">
      <alignment horizontal="left" vertical="center" indent="1"/>
    </xf>
    <xf numFmtId="0" fontId="29" fillId="2" borderId="0" xfId="0" applyFont="1" applyFill="1"/>
    <xf numFmtId="0" fontId="29" fillId="0" borderId="65" xfId="0" applyFont="1" applyBorder="1" applyAlignment="1">
      <alignment horizontal="right" indent="1"/>
    </xf>
    <xf numFmtId="0" fontId="29" fillId="0" borderId="65" xfId="0" applyFont="1" applyBorder="1" applyAlignment="1">
      <alignment horizontal="right" wrapText="1" indent="1"/>
    </xf>
    <xf numFmtId="0" fontId="27" fillId="0" borderId="0" xfId="0" applyFont="1" applyAlignment="1">
      <alignment vertical="top"/>
    </xf>
    <xf numFmtId="0" fontId="44" fillId="0" borderId="0" xfId="1" applyFont="1" applyFill="1" applyAlignment="1" applyProtection="1">
      <alignment horizontal="left" vertical="top" wrapText="1" indent="2"/>
      <protection locked="0"/>
    </xf>
    <xf numFmtId="0" fontId="45" fillId="0" borderId="0" xfId="0" applyFont="1" applyAlignment="1" applyProtection="1">
      <alignment horizontal="left" vertical="top" wrapText="1" indent="2"/>
      <protection locked="0"/>
    </xf>
    <xf numFmtId="0" fontId="34" fillId="0" borderId="0" xfId="0" applyFont="1" applyAlignment="1" applyProtection="1">
      <alignment horizontal="left" vertical="top" indent="2"/>
      <protection locked="0"/>
    </xf>
    <xf numFmtId="0" fontId="34" fillId="0" borderId="0" xfId="0" applyFont="1" applyAlignment="1" applyProtection="1">
      <alignment horizontal="left" vertical="top" wrapText="1" indent="2"/>
      <protection locked="0"/>
    </xf>
    <xf numFmtId="14" fontId="23" fillId="0" borderId="74" xfId="0" applyNumberFormat="1" applyFont="1" applyBorder="1"/>
    <xf numFmtId="0" fontId="23" fillId="0" borderId="75" xfId="0" applyFont="1" applyBorder="1"/>
    <xf numFmtId="0" fontId="23" fillId="0" borderId="76" xfId="0" applyFont="1" applyBorder="1"/>
    <xf numFmtId="165" fontId="24" fillId="0" borderId="77" xfId="0" applyNumberFormat="1" applyFont="1" applyBorder="1"/>
    <xf numFmtId="165" fontId="24" fillId="0" borderId="78" xfId="0" applyNumberFormat="1" applyFont="1" applyBorder="1"/>
    <xf numFmtId="165" fontId="24" fillId="0" borderId="79" xfId="0" applyNumberFormat="1" applyFont="1" applyBorder="1"/>
    <xf numFmtId="165" fontId="24" fillId="0" borderId="80" xfId="0" applyNumberFormat="1" applyFont="1" applyBorder="1"/>
    <xf numFmtId="14" fontId="23" fillId="0" borderId="81" xfId="0" applyNumberFormat="1" applyFont="1" applyBorder="1"/>
    <xf numFmtId="0" fontId="23" fillId="0" borderId="82" xfId="0" applyFont="1" applyBorder="1"/>
    <xf numFmtId="165" fontId="24" fillId="0" borderId="73" xfId="0" applyNumberFormat="1" applyFont="1" applyBorder="1"/>
    <xf numFmtId="0" fontId="24" fillId="0" borderId="83" xfId="0" applyFont="1" applyBorder="1"/>
    <xf numFmtId="0" fontId="24" fillId="0" borderId="84" xfId="0" applyFont="1" applyBorder="1"/>
    <xf numFmtId="0" fontId="24" fillId="0" borderId="85" xfId="0" applyFont="1" applyBorder="1"/>
    <xf numFmtId="0" fontId="3" fillId="0" borderId="0" xfId="1" applyFill="1" applyBorder="1" applyAlignment="1" applyProtection="1"/>
    <xf numFmtId="0" fontId="78" fillId="0" borderId="0" xfId="0" applyFont="1" applyAlignment="1">
      <alignment horizontal="right"/>
    </xf>
    <xf numFmtId="0" fontId="59" fillId="7" borderId="0" xfId="1" applyFont="1" applyFill="1" applyAlignment="1" applyProtection="1">
      <alignment vertical="center"/>
    </xf>
    <xf numFmtId="0" fontId="59" fillId="7" borderId="0" xfId="1" applyFont="1" applyFill="1" applyAlignment="1" applyProtection="1">
      <alignment vertical="top" wrapText="1"/>
    </xf>
    <xf numFmtId="0" fontId="7" fillId="6" borderId="0" xfId="0" applyFont="1" applyFill="1" applyAlignment="1">
      <alignment horizontal="left" vertical="center"/>
    </xf>
    <xf numFmtId="0" fontId="11" fillId="6" borderId="0" xfId="0" applyFont="1" applyFill="1" applyAlignment="1">
      <alignment vertical="center"/>
    </xf>
    <xf numFmtId="0" fontId="7" fillId="6" borderId="0" xfId="0" applyFont="1" applyFill="1" applyAlignment="1">
      <alignment vertical="top" wrapText="1"/>
    </xf>
    <xf numFmtId="0" fontId="35" fillId="0" borderId="0" xfId="0" applyFont="1" applyAlignment="1">
      <alignment horizontal="center" vertical="top"/>
    </xf>
    <xf numFmtId="0" fontId="6" fillId="2" borderId="0" xfId="0" applyFont="1" applyFill="1" applyAlignment="1">
      <alignment horizontal="left" vertical="center" wrapText="1"/>
    </xf>
    <xf numFmtId="0" fontId="5" fillId="2" borderId="0" xfId="0" applyFont="1" applyFill="1" applyAlignment="1">
      <alignment horizontal="left" vertical="center"/>
    </xf>
    <xf numFmtId="0" fontId="34" fillId="0" borderId="0" xfId="0" applyFont="1" applyAlignment="1">
      <alignment horizontal="left" vertical="top" wrapText="1"/>
    </xf>
    <xf numFmtId="0" fontId="34" fillId="0" borderId="0" xfId="0" applyFont="1" applyAlignment="1">
      <alignment horizontal="left" vertical="top"/>
    </xf>
    <xf numFmtId="0" fontId="34" fillId="0" borderId="0" xfId="2" applyFont="1" applyAlignment="1">
      <alignment horizontal="left" vertical="top" wrapText="1" indent="2"/>
    </xf>
    <xf numFmtId="0" fontId="34" fillId="0" borderId="0" xfId="0" applyFont="1" applyAlignment="1">
      <alignment horizontal="left" vertical="top" wrapText="1" indent="2"/>
    </xf>
    <xf numFmtId="0" fontId="45" fillId="0" borderId="0" xfId="0" applyFont="1" applyAlignment="1">
      <alignment horizontal="left" vertical="top" wrapText="1" indent="2"/>
    </xf>
    <xf numFmtId="0" fontId="34" fillId="0" borderId="0" xfId="0" applyFont="1" applyAlignment="1">
      <alignment horizontal="left" vertical="top" indent="2"/>
    </xf>
    <xf numFmtId="0" fontId="50" fillId="0" borderId="0" xfId="0" applyFont="1" applyAlignment="1">
      <alignment horizontal="left" vertical="top" indent="6"/>
    </xf>
    <xf numFmtId="0" fontId="39" fillId="0" borderId="0" xfId="0" applyFont="1" applyAlignment="1">
      <alignment horizontal="left" vertical="top"/>
    </xf>
    <xf numFmtId="1" fontId="7" fillId="6" borderId="0" xfId="0" applyNumberFormat="1" applyFont="1" applyFill="1" applyAlignment="1" applyProtection="1">
      <alignment horizontal="right" vertical="center"/>
      <protection locked="0"/>
    </xf>
    <xf numFmtId="1" fontId="7" fillId="7" borderId="0" xfId="0" applyNumberFormat="1" applyFont="1" applyFill="1" applyAlignment="1" applyProtection="1">
      <alignment horizontal="center" vertical="center"/>
      <protection locked="0"/>
    </xf>
    <xf numFmtId="1" fontId="7" fillId="7" borderId="11" xfId="0" applyNumberFormat="1" applyFont="1" applyFill="1" applyBorder="1" applyAlignment="1" applyProtection="1">
      <alignment horizontal="center" vertical="center"/>
      <protection locked="0"/>
    </xf>
    <xf numFmtId="1" fontId="27" fillId="0" borderId="49" xfId="0" applyNumberFormat="1" applyFont="1" applyBorder="1" applyAlignment="1">
      <alignment vertical="center"/>
    </xf>
    <xf numFmtId="0" fontId="29" fillId="7" borderId="0" xfId="0" applyFont="1" applyFill="1" applyAlignment="1">
      <alignment horizontal="left"/>
    </xf>
    <xf numFmtId="0" fontId="0" fillId="0" borderId="0" xfId="0" applyAlignment="1" applyProtection="1">
      <alignment horizontal="center" vertical="center"/>
      <protection locked="0"/>
    </xf>
    <xf numFmtId="1" fontId="7" fillId="2" borderId="0" xfId="0" applyNumberFormat="1" applyFont="1" applyFill="1" applyAlignment="1" applyProtection="1">
      <alignment horizontal="center" vertical="center"/>
      <protection locked="0"/>
    </xf>
    <xf numFmtId="0" fontId="7" fillId="2" borderId="86" xfId="0" applyFont="1" applyFill="1" applyBorder="1" applyAlignment="1" applyProtection="1">
      <alignment horizontal="center" vertical="center" wrapText="1"/>
      <protection locked="0"/>
    </xf>
    <xf numFmtId="0" fontId="7" fillId="2" borderId="87" xfId="0" applyFont="1" applyFill="1" applyBorder="1" applyAlignment="1" applyProtection="1">
      <alignment horizontal="center" vertical="center" wrapText="1"/>
      <protection locked="0"/>
    </xf>
    <xf numFmtId="49" fontId="16" fillId="2" borderId="0" xfId="0" applyNumberFormat="1" applyFont="1" applyFill="1" applyAlignment="1">
      <alignment horizontal="center" vertical="center" wrapText="1"/>
    </xf>
    <xf numFmtId="0" fontId="58" fillId="0" borderId="0" xfId="0" applyFont="1" applyAlignment="1">
      <alignment horizontal="center"/>
    </xf>
    <xf numFmtId="0" fontId="4" fillId="35" borderId="0" xfId="0" applyFont="1" applyFill="1" applyAlignment="1">
      <alignment vertical="top" wrapText="1"/>
    </xf>
    <xf numFmtId="0" fontId="4" fillId="2" borderId="0" xfId="0" applyFont="1" applyFill="1"/>
    <xf numFmtId="0" fontId="4" fillId="35" borderId="0" xfId="0" applyFont="1" applyFill="1" applyAlignment="1">
      <alignment wrapText="1"/>
    </xf>
    <xf numFmtId="0" fontId="0" fillId="0" borderId="0" xfId="0" applyAlignment="1">
      <alignment vertical="top" wrapText="1"/>
    </xf>
    <xf numFmtId="0" fontId="0" fillId="0" borderId="0" xfId="0" applyAlignment="1">
      <alignment wrapText="1"/>
    </xf>
    <xf numFmtId="1" fontId="7" fillId="6" borderId="59" xfId="0" applyNumberFormat="1" applyFont="1" applyFill="1" applyBorder="1" applyAlignment="1" applyProtection="1">
      <alignment horizontal="right" vertical="center"/>
      <protection locked="0"/>
    </xf>
    <xf numFmtId="0" fontId="7" fillId="2" borderId="46" xfId="0" applyFont="1" applyFill="1" applyBorder="1" applyAlignment="1" applyProtection="1">
      <alignment horizontal="center" vertical="center" wrapText="1"/>
      <protection locked="0"/>
    </xf>
    <xf numFmtId="0" fontId="7" fillId="2" borderId="45" xfId="0" applyFont="1" applyFill="1" applyBorder="1" applyAlignment="1" applyProtection="1">
      <alignment horizontal="center" vertical="center" wrapText="1"/>
      <protection locked="0"/>
    </xf>
    <xf numFmtId="0" fontId="7" fillId="14" borderId="0" xfId="0" applyFont="1" applyFill="1" applyAlignment="1">
      <alignment horizontal="left" vertical="center" indent="2"/>
    </xf>
    <xf numFmtId="0" fontId="7" fillId="17" borderId="38" xfId="0" applyFont="1" applyFill="1" applyBorder="1" applyAlignment="1">
      <alignment horizontal="center" vertical="center"/>
    </xf>
    <xf numFmtId="0" fontId="7" fillId="17" borderId="81" xfId="0" applyFont="1" applyFill="1" applyBorder="1" applyAlignment="1">
      <alignment horizontal="center" vertical="center"/>
    </xf>
    <xf numFmtId="0" fontId="7" fillId="17" borderId="39" xfId="0" applyFont="1" applyFill="1" applyBorder="1" applyAlignment="1">
      <alignment horizontal="center" vertical="center"/>
    </xf>
    <xf numFmtId="0" fontId="81" fillId="0" borderId="0" xfId="0" applyFont="1" applyAlignment="1">
      <alignment horizontal="right" vertical="center"/>
    </xf>
    <xf numFmtId="0" fontId="25" fillId="2" borderId="0" xfId="0" applyFont="1" applyFill="1" applyAlignment="1">
      <alignment vertical="center"/>
    </xf>
    <xf numFmtId="0" fontId="25" fillId="0" borderId="0" xfId="0" applyFont="1" applyAlignment="1">
      <alignment vertical="center"/>
    </xf>
    <xf numFmtId="0" fontId="23" fillId="0" borderId="0" xfId="1" applyFont="1" applyFill="1" applyAlignment="1" applyProtection="1">
      <alignment horizontal="right" indent="4"/>
    </xf>
    <xf numFmtId="0" fontId="7" fillId="0" borderId="71" xfId="0" applyFont="1" applyBorder="1" applyAlignment="1">
      <alignment vertical="center"/>
    </xf>
    <xf numFmtId="0" fontId="7" fillId="0" borderId="1" xfId="0" applyFont="1" applyBorder="1" applyAlignment="1">
      <alignment horizontal="center" vertical="center"/>
    </xf>
    <xf numFmtId="0" fontId="7" fillId="0" borderId="0" xfId="0" applyFont="1" applyAlignment="1">
      <alignment horizontal="left" vertical="center" indent="2"/>
    </xf>
    <xf numFmtId="0" fontId="7" fillId="0" borderId="35" xfId="0" applyFont="1" applyBorder="1" applyAlignment="1">
      <alignment horizontal="center" vertical="center"/>
    </xf>
    <xf numFmtId="0" fontId="7" fillId="0" borderId="61" xfId="0" applyFont="1" applyBorder="1" applyAlignment="1">
      <alignment vertical="center"/>
    </xf>
    <xf numFmtId="0" fontId="7" fillId="0" borderId="25" xfId="0" applyFont="1" applyBorder="1"/>
    <xf numFmtId="1" fontId="7" fillId="0" borderId="47" xfId="0" applyNumberFormat="1" applyFont="1" applyBorder="1" applyAlignment="1" applyProtection="1">
      <alignment horizontal="center" vertical="center"/>
      <protection locked="0"/>
    </xf>
    <xf numFmtId="0" fontId="81" fillId="0" borderId="0" xfId="0" applyFont="1" applyAlignment="1">
      <alignment horizontal="center"/>
    </xf>
    <xf numFmtId="0" fontId="16" fillId="0" borderId="0" xfId="0" applyFont="1" applyAlignment="1">
      <alignment vertical="center"/>
    </xf>
    <xf numFmtId="0" fontId="23" fillId="0" borderId="0" xfId="0" applyFont="1" applyAlignment="1">
      <alignment vertical="top" wrapText="1"/>
    </xf>
    <xf numFmtId="0" fontId="7" fillId="0" borderId="0" xfId="0" applyFont="1" applyAlignment="1">
      <alignment vertical="center" wrapText="1"/>
    </xf>
    <xf numFmtId="0" fontId="7" fillId="2" borderId="9" xfId="0" applyFont="1" applyFill="1" applyBorder="1" applyAlignment="1" applyProtection="1">
      <alignment vertical="center" wrapText="1"/>
      <protection locked="0"/>
    </xf>
    <xf numFmtId="0" fontId="7" fillId="2" borderId="1" xfId="0" applyFont="1" applyFill="1" applyBorder="1" applyAlignment="1" applyProtection="1">
      <alignment vertical="center" wrapText="1"/>
      <protection locked="0"/>
    </xf>
    <xf numFmtId="0" fontId="7" fillId="2" borderId="16" xfId="0" applyFont="1" applyFill="1" applyBorder="1" applyAlignment="1" applyProtection="1">
      <alignment vertical="center" wrapText="1"/>
      <protection locked="0"/>
    </xf>
    <xf numFmtId="0" fontId="7" fillId="2" borderId="15" xfId="0" applyFont="1" applyFill="1" applyBorder="1" applyAlignment="1" applyProtection="1">
      <alignment vertical="center" wrapText="1"/>
      <protection locked="0"/>
    </xf>
    <xf numFmtId="0" fontId="7" fillId="2" borderId="21" xfId="0" applyFont="1" applyFill="1" applyBorder="1" applyAlignment="1" applyProtection="1">
      <alignment vertical="center" wrapText="1"/>
      <protection locked="0"/>
    </xf>
    <xf numFmtId="0" fontId="7" fillId="2" borderId="17" xfId="0" applyFont="1" applyFill="1" applyBorder="1" applyAlignment="1" applyProtection="1">
      <alignment vertical="center" wrapText="1"/>
      <protection locked="0"/>
    </xf>
    <xf numFmtId="0" fontId="7" fillId="2" borderId="8" xfId="0" applyFont="1" applyFill="1" applyBorder="1" applyAlignment="1" applyProtection="1">
      <alignment vertical="center" wrapText="1"/>
      <protection locked="0"/>
    </xf>
    <xf numFmtId="0" fontId="7" fillId="2" borderId="20" xfId="0" applyFont="1" applyFill="1" applyBorder="1" applyAlignment="1" applyProtection="1">
      <alignment vertical="center" wrapText="1"/>
      <protection locked="0"/>
    </xf>
    <xf numFmtId="0" fontId="7" fillId="2" borderId="18" xfId="0" applyFont="1" applyFill="1" applyBorder="1" applyAlignment="1" applyProtection="1">
      <alignment vertical="center" wrapText="1"/>
      <protection locked="0"/>
    </xf>
    <xf numFmtId="0" fontId="7" fillId="9" borderId="9" xfId="0" applyFont="1" applyFill="1" applyBorder="1" applyAlignment="1" applyProtection="1">
      <alignment vertical="center" wrapText="1"/>
      <protection locked="0"/>
    </xf>
    <xf numFmtId="0" fontId="7" fillId="9" borderId="1" xfId="0" applyFont="1" applyFill="1" applyBorder="1" applyAlignment="1" applyProtection="1">
      <alignment vertical="center" wrapText="1"/>
      <protection locked="0"/>
    </xf>
    <xf numFmtId="0" fontId="7" fillId="9" borderId="16" xfId="0" applyFont="1" applyFill="1" applyBorder="1" applyAlignment="1" applyProtection="1">
      <alignment vertical="center" wrapText="1"/>
      <protection locked="0"/>
    </xf>
    <xf numFmtId="0" fontId="5" fillId="11" borderId="28" xfId="0" applyFont="1" applyFill="1" applyBorder="1" applyAlignment="1">
      <alignment horizontal="center" vertical="center" wrapText="1"/>
    </xf>
    <xf numFmtId="0" fontId="5" fillId="11" borderId="29"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7" fillId="2" borderId="30" xfId="0" applyFont="1" applyFill="1" applyBorder="1" applyAlignment="1" applyProtection="1">
      <alignment horizontal="center" vertical="center" wrapText="1"/>
      <protection locked="0"/>
    </xf>
    <xf numFmtId="0" fontId="7" fillId="2" borderId="24" xfId="0" applyFont="1" applyFill="1" applyBorder="1" applyAlignment="1" applyProtection="1">
      <alignment horizontal="center" vertical="center" wrapText="1"/>
      <protection locked="0"/>
    </xf>
    <xf numFmtId="0" fontId="7" fillId="2" borderId="32" xfId="0" applyFont="1" applyFill="1" applyBorder="1" applyAlignment="1" applyProtection="1">
      <alignment horizontal="center" vertical="center" wrapText="1"/>
      <protection locked="0"/>
    </xf>
    <xf numFmtId="0" fontId="7" fillId="2" borderId="34" xfId="0" applyFont="1" applyFill="1" applyBorder="1" applyAlignment="1" applyProtection="1">
      <alignment horizontal="center" vertical="center" wrapText="1"/>
      <protection locked="0"/>
    </xf>
    <xf numFmtId="0" fontId="7" fillId="2" borderId="36" xfId="0" applyFont="1" applyFill="1" applyBorder="1" applyAlignment="1" applyProtection="1">
      <alignment horizontal="center" vertical="center" wrapText="1"/>
      <protection locked="0"/>
    </xf>
    <xf numFmtId="0" fontId="7" fillId="2" borderId="23" xfId="0" applyFont="1" applyFill="1" applyBorder="1" applyAlignment="1" applyProtection="1">
      <alignment horizontal="center" vertical="center" wrapText="1"/>
      <protection locked="0"/>
    </xf>
    <xf numFmtId="0" fontId="5" fillId="11" borderId="43" xfId="0" applyFont="1" applyFill="1" applyBorder="1" applyAlignment="1">
      <alignment horizontal="center" vertical="center" wrapText="1"/>
    </xf>
    <xf numFmtId="0" fontId="5" fillId="11" borderId="42"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40" xfId="0" applyFont="1" applyFill="1" applyBorder="1" applyAlignment="1">
      <alignment horizontal="center" vertical="center" wrapText="1"/>
    </xf>
    <xf numFmtId="0" fontId="5" fillId="11" borderId="41" xfId="0" applyFont="1" applyFill="1" applyBorder="1" applyAlignment="1">
      <alignment horizontal="center" vertical="center" wrapText="1"/>
    </xf>
    <xf numFmtId="0" fontId="7" fillId="2" borderId="32" xfId="0" applyFont="1" applyFill="1" applyBorder="1" applyAlignment="1" applyProtection="1">
      <alignment horizontal="left" vertical="center" wrapText="1"/>
      <protection locked="0"/>
    </xf>
    <xf numFmtId="0" fontId="7" fillId="2" borderId="33" xfId="0" applyFont="1" applyFill="1" applyBorder="1" applyAlignment="1" applyProtection="1">
      <alignment horizontal="left" vertical="center" wrapText="1"/>
      <protection locked="0"/>
    </xf>
    <xf numFmtId="0" fontId="7" fillId="2" borderId="34" xfId="0" applyFont="1" applyFill="1" applyBorder="1" applyAlignment="1" applyProtection="1">
      <alignment horizontal="left" vertical="center" wrapText="1"/>
      <protection locked="0"/>
    </xf>
    <xf numFmtId="0" fontId="7" fillId="2" borderId="36" xfId="0" applyFont="1" applyFill="1" applyBorder="1" applyAlignment="1" applyProtection="1">
      <alignment horizontal="left" vertical="center" wrapText="1"/>
      <protection locked="0"/>
    </xf>
    <xf numFmtId="0" fontId="7" fillId="2" borderId="37" xfId="0" applyFont="1" applyFill="1" applyBorder="1" applyAlignment="1" applyProtection="1">
      <alignment horizontal="left" vertical="center" wrapText="1"/>
      <protection locked="0"/>
    </xf>
    <xf numFmtId="0" fontId="7" fillId="2" borderId="23" xfId="0" applyFont="1" applyFill="1" applyBorder="1" applyAlignment="1" applyProtection="1">
      <alignment horizontal="left" vertical="center" wrapText="1"/>
      <protection locked="0"/>
    </xf>
    <xf numFmtId="0" fontId="7" fillId="2" borderId="30" xfId="0" applyFont="1" applyFill="1" applyBorder="1" applyAlignment="1" applyProtection="1">
      <alignment horizontal="left" vertical="center" wrapText="1"/>
      <protection locked="0"/>
    </xf>
    <xf numFmtId="0" fontId="7" fillId="2" borderId="31" xfId="0" applyFont="1" applyFill="1" applyBorder="1" applyAlignment="1" applyProtection="1">
      <alignment horizontal="left" vertical="center" wrapText="1"/>
      <protection locked="0"/>
    </xf>
    <xf numFmtId="0" fontId="7" fillId="2" borderId="24" xfId="0" applyFont="1" applyFill="1" applyBorder="1" applyAlignment="1" applyProtection="1">
      <alignment horizontal="left" vertical="center" wrapText="1"/>
      <protection locked="0"/>
    </xf>
    <xf numFmtId="0" fontId="7" fillId="15" borderId="1" xfId="0" applyFont="1" applyFill="1" applyBorder="1" applyAlignment="1">
      <alignment horizontal="center" textRotation="90"/>
    </xf>
    <xf numFmtId="0" fontId="7" fillId="15" borderId="16" xfId="0" applyFont="1" applyFill="1" applyBorder="1" applyAlignment="1">
      <alignment horizontal="center" textRotation="90"/>
    </xf>
    <xf numFmtId="0" fontId="7" fillId="15" borderId="9" xfId="0" applyFont="1" applyFill="1" applyBorder="1" applyAlignment="1">
      <alignment horizontal="center" textRotation="90"/>
    </xf>
    <xf numFmtId="0" fontId="5" fillId="2" borderId="0" xfId="0" applyFont="1" applyFill="1" applyAlignment="1">
      <alignment horizontal="left" vertical="center"/>
    </xf>
    <xf numFmtId="0" fontId="5" fillId="11" borderId="44" xfId="0" applyFont="1" applyFill="1" applyBorder="1" applyAlignment="1">
      <alignment horizontal="center" vertical="center" wrapText="1"/>
    </xf>
    <xf numFmtId="0" fontId="7" fillId="2" borderId="28" xfId="0" applyFont="1" applyFill="1" applyBorder="1" applyAlignment="1" applyProtection="1">
      <alignment horizontal="left" vertical="center" wrapText="1"/>
      <protection locked="0"/>
    </xf>
    <xf numFmtId="0" fontId="7" fillId="2" borderId="29" xfId="0" applyFont="1" applyFill="1" applyBorder="1" applyAlignment="1" applyProtection="1">
      <alignment horizontal="left" vertical="center" wrapText="1"/>
      <protection locked="0"/>
    </xf>
    <xf numFmtId="0" fontId="7" fillId="2" borderId="3" xfId="0" applyFont="1" applyFill="1" applyBorder="1" applyAlignment="1" applyProtection="1">
      <alignment horizontal="left" vertical="center" wrapText="1"/>
      <protection locked="0"/>
    </xf>
    <xf numFmtId="0" fontId="7" fillId="2" borderId="9" xfId="0" applyFont="1" applyFill="1" applyBorder="1" applyAlignment="1" applyProtection="1">
      <alignment horizontal="left" vertical="center" wrapText="1"/>
      <protection locked="0"/>
    </xf>
    <xf numFmtId="0" fontId="7" fillId="2" borderId="1" xfId="0" applyFont="1" applyFill="1" applyBorder="1" applyAlignment="1" applyProtection="1">
      <alignment horizontal="left" vertical="center" wrapText="1"/>
      <protection locked="0"/>
    </xf>
    <xf numFmtId="0" fontId="7" fillId="2" borderId="16" xfId="0" applyFont="1" applyFill="1" applyBorder="1" applyAlignment="1" applyProtection="1">
      <alignment horizontal="left" vertical="center" wrapText="1"/>
      <protection locked="0"/>
    </xf>
    <xf numFmtId="0" fontId="7" fillId="2" borderId="15" xfId="0" applyFont="1" applyFill="1" applyBorder="1" applyAlignment="1" applyProtection="1">
      <alignment horizontal="left" vertical="center" wrapText="1"/>
      <protection locked="0"/>
    </xf>
    <xf numFmtId="0" fontId="7" fillId="2" borderId="21" xfId="0" applyFont="1" applyFill="1" applyBorder="1" applyAlignment="1" applyProtection="1">
      <alignment horizontal="left" vertical="center" wrapText="1"/>
      <protection locked="0"/>
    </xf>
    <xf numFmtId="0" fontId="7" fillId="2" borderId="17" xfId="0" applyFont="1" applyFill="1" applyBorder="1" applyAlignment="1" applyProtection="1">
      <alignment horizontal="left" vertical="center" wrapText="1"/>
      <protection locked="0"/>
    </xf>
    <xf numFmtId="0" fontId="7" fillId="2" borderId="32" xfId="0" applyFont="1" applyFill="1" applyBorder="1" applyAlignment="1" applyProtection="1">
      <alignment vertical="center" wrapText="1"/>
      <protection locked="0"/>
    </xf>
    <xf numFmtId="0" fontId="7" fillId="2" borderId="33" xfId="0" applyFont="1" applyFill="1" applyBorder="1" applyAlignment="1" applyProtection="1">
      <alignment vertical="center" wrapText="1"/>
      <protection locked="0"/>
    </xf>
    <xf numFmtId="0" fontId="7" fillId="2" borderId="34" xfId="0" applyFont="1" applyFill="1" applyBorder="1" applyAlignment="1" applyProtection="1">
      <alignment vertical="center" wrapText="1"/>
      <protection locked="0"/>
    </xf>
    <xf numFmtId="0" fontId="7" fillId="2" borderId="37" xfId="0" applyFont="1" applyFill="1" applyBorder="1" applyAlignment="1" applyProtection="1">
      <alignment horizontal="center" vertical="center" wrapText="1"/>
      <protection locked="0"/>
    </xf>
    <xf numFmtId="0" fontId="6" fillId="2" borderId="0" xfId="0" applyFont="1" applyFill="1" applyAlignment="1">
      <alignment horizontal="left" vertical="center" wrapText="1"/>
    </xf>
    <xf numFmtId="0" fontId="7" fillId="2" borderId="8" xfId="0" applyFont="1" applyFill="1" applyBorder="1" applyAlignment="1" applyProtection="1">
      <alignment horizontal="left" vertical="center" wrapText="1"/>
      <protection locked="0"/>
    </xf>
    <xf numFmtId="0" fontId="7" fillId="2" borderId="20" xfId="0" applyFont="1" applyFill="1" applyBorder="1" applyAlignment="1" applyProtection="1">
      <alignment horizontal="left" vertical="center" wrapText="1"/>
      <protection locked="0"/>
    </xf>
    <xf numFmtId="0" fontId="7" fillId="2" borderId="18" xfId="0" applyFont="1" applyFill="1" applyBorder="1" applyAlignment="1" applyProtection="1">
      <alignment horizontal="left" vertical="center" wrapText="1"/>
      <protection locked="0"/>
    </xf>
    <xf numFmtId="164" fontId="5" fillId="4" borderId="28" xfId="0" applyNumberFormat="1" applyFont="1" applyFill="1" applyBorder="1" applyAlignment="1">
      <alignment horizontal="center" vertical="center"/>
    </xf>
    <xf numFmtId="164" fontId="5" fillId="4" borderId="3" xfId="0" applyNumberFormat="1" applyFont="1" applyFill="1" applyBorder="1" applyAlignment="1">
      <alignment horizontal="center" vertical="center"/>
    </xf>
    <xf numFmtId="0" fontId="27" fillId="2" borderId="44" xfId="0" applyFont="1" applyFill="1" applyBorder="1" applyAlignment="1">
      <alignment horizontal="center" vertical="center"/>
    </xf>
    <xf numFmtId="0" fontId="7" fillId="2" borderId="0" xfId="0" applyFont="1" applyFill="1" applyAlignment="1">
      <alignment horizontal="left" vertical="center" wrapText="1"/>
    </xf>
    <xf numFmtId="49" fontId="16" fillId="0" borderId="0" xfId="0" applyNumberFormat="1" applyFont="1" applyAlignment="1"/>
    <xf numFmtId="49" fontId="16" fillId="2" borderId="0" xfId="0" applyNumberFormat="1" applyFont="1" applyFill="1" applyAlignment="1"/>
    <xf numFmtId="0" fontId="31" fillId="12" borderId="51" xfId="0" applyFont="1" applyFill="1" applyBorder="1" applyAlignment="1">
      <alignment horizontal="center" wrapText="1"/>
    </xf>
    <xf numFmtId="0" fontId="31" fillId="12" borderId="53" xfId="0" applyFont="1" applyFill="1" applyBorder="1" applyAlignment="1">
      <alignment horizontal="center" wrapText="1"/>
    </xf>
    <xf numFmtId="0" fontId="31" fillId="12" borderId="54" xfId="0" applyFont="1" applyFill="1" applyBorder="1" applyAlignment="1">
      <alignment horizontal="center" wrapText="1"/>
    </xf>
    <xf numFmtId="0" fontId="6" fillId="2" borderId="47" xfId="0" applyFont="1" applyFill="1" applyBorder="1" applyAlignment="1">
      <alignment horizontal="center" wrapText="1"/>
    </xf>
    <xf numFmtId="0" fontId="6" fillId="2" borderId="50" xfId="0" applyFont="1" applyFill="1" applyBorder="1" applyAlignment="1">
      <alignment horizontal="center" wrapText="1"/>
    </xf>
    <xf numFmtId="0" fontId="31" fillId="12" borderId="56" xfId="0" applyFont="1" applyFill="1" applyBorder="1" applyAlignment="1">
      <alignment horizontal="center" vertical="center" wrapText="1"/>
    </xf>
    <xf numFmtId="0" fontId="31" fillId="12" borderId="57" xfId="0" applyFont="1" applyFill="1" applyBorder="1" applyAlignment="1">
      <alignment horizontal="center" vertical="center" wrapText="1"/>
    </xf>
    <xf numFmtId="0" fontId="31" fillId="12" borderId="58" xfId="0" applyFont="1" applyFill="1" applyBorder="1" applyAlignment="1">
      <alignment horizontal="center" vertical="center" wrapText="1"/>
    </xf>
    <xf numFmtId="0" fontId="6" fillId="2" borderId="2" xfId="0" applyFont="1" applyFill="1" applyBorder="1" applyAlignment="1">
      <alignment horizontal="left" vertical="center" wrapText="1"/>
    </xf>
    <xf numFmtId="0" fontId="27" fillId="0" borderId="27" xfId="0" applyFont="1" applyBorder="1" applyAlignment="1">
      <alignment horizontal="right"/>
    </xf>
    <xf numFmtId="0" fontId="27" fillId="0" borderId="0" xfId="0" applyFont="1" applyAlignment="1">
      <alignment horizontal="right"/>
    </xf>
    <xf numFmtId="0" fontId="7" fillId="2" borderId="35" xfId="0" applyFont="1" applyFill="1" applyBorder="1" applyAlignment="1" applyProtection="1">
      <alignment horizontal="left"/>
      <protection locked="0"/>
    </xf>
    <xf numFmtId="0" fontId="7" fillId="2" borderId="31" xfId="0" applyFont="1" applyFill="1" applyBorder="1" applyAlignment="1" applyProtection="1">
      <alignment horizontal="left"/>
      <protection locked="0"/>
    </xf>
    <xf numFmtId="0" fontId="7" fillId="2" borderId="25" xfId="0" applyFont="1" applyFill="1" applyBorder="1" applyAlignment="1" applyProtection="1">
      <alignment horizontal="left"/>
      <protection locked="0"/>
    </xf>
    <xf numFmtId="0" fontId="7" fillId="2" borderId="35" xfId="0" applyFont="1" applyFill="1" applyBorder="1" applyAlignment="1" applyProtection="1">
      <protection locked="0"/>
    </xf>
    <xf numFmtId="0" fontId="7" fillId="2" borderId="31" xfId="0" applyFont="1" applyFill="1" applyBorder="1" applyAlignment="1" applyProtection="1">
      <protection locked="0"/>
    </xf>
    <xf numFmtId="0" fontId="7" fillId="2" borderId="25" xfId="0" applyFont="1" applyFill="1" applyBorder="1" applyAlignment="1" applyProtection="1">
      <protection locked="0"/>
    </xf>
    <xf numFmtId="0" fontId="7" fillId="2" borderId="30" xfId="0" applyFont="1" applyFill="1" applyBorder="1" applyAlignment="1" applyProtection="1">
      <alignment horizontal="left"/>
      <protection locked="0"/>
    </xf>
    <xf numFmtId="0" fontId="7" fillId="2" borderId="24" xfId="0" applyFont="1" applyFill="1" applyBorder="1" applyAlignment="1" applyProtection="1">
      <alignment horizontal="left"/>
      <protection locked="0"/>
    </xf>
    <xf numFmtId="0" fontId="7" fillId="2" borderId="32" xfId="0" applyFont="1" applyFill="1" applyBorder="1" applyAlignment="1" applyProtection="1">
      <alignment horizontal="left"/>
      <protection locked="0"/>
    </xf>
    <xf numFmtId="0" fontId="7" fillId="2" borderId="34" xfId="0" applyFont="1" applyFill="1" applyBorder="1" applyAlignment="1" applyProtection="1">
      <alignment horizontal="left"/>
      <protection locked="0"/>
    </xf>
    <xf numFmtId="0" fontId="29" fillId="2" borderId="0" xfId="0" applyFont="1" applyFill="1" applyAlignment="1">
      <alignment horizontal="left" vertical="top"/>
    </xf>
    <xf numFmtId="0" fontId="7" fillId="2" borderId="9" xfId="0" applyFont="1" applyFill="1" applyBorder="1" applyAlignment="1" applyProtection="1">
      <alignment horizontal="left" vertical="center"/>
      <protection locked="0"/>
    </xf>
    <xf numFmtId="0" fontId="7" fillId="2" borderId="16" xfId="0" applyFont="1" applyFill="1" applyBorder="1" applyAlignment="1" applyProtection="1">
      <alignment horizontal="left" vertical="center"/>
      <protection locked="0"/>
    </xf>
    <xf numFmtId="0" fontId="7" fillId="2" borderId="38" xfId="0" applyFont="1" applyFill="1" applyBorder="1" applyAlignment="1" applyProtection="1">
      <alignment horizontal="left"/>
      <protection locked="0"/>
    </xf>
    <xf numFmtId="0" fontId="7" fillId="2" borderId="39" xfId="0" applyFont="1" applyFill="1" applyBorder="1" applyAlignment="1" applyProtection="1">
      <alignment horizontal="left"/>
      <protection locked="0"/>
    </xf>
    <xf numFmtId="0" fontId="7" fillId="2" borderId="36" xfId="0" applyFont="1" applyFill="1" applyBorder="1" applyAlignment="1" applyProtection="1">
      <alignment horizontal="left"/>
      <protection locked="0"/>
    </xf>
    <xf numFmtId="0" fontId="7" fillId="2" borderId="23" xfId="0" applyFont="1" applyFill="1" applyBorder="1" applyAlignment="1" applyProtection="1">
      <alignment horizontal="left"/>
      <protection locked="0"/>
    </xf>
    <xf numFmtId="0" fontId="7" fillId="2" borderId="30" xfId="0" applyFont="1" applyFill="1" applyBorder="1" applyAlignment="1" applyProtection="1">
      <alignment horizontal="left" vertical="center"/>
      <protection locked="0"/>
    </xf>
    <xf numFmtId="0" fontId="7" fillId="2" borderId="24" xfId="0" applyFont="1" applyFill="1" applyBorder="1" applyAlignment="1" applyProtection="1">
      <alignment horizontal="left" vertical="center"/>
      <protection locked="0"/>
    </xf>
    <xf numFmtId="0" fontId="7" fillId="2" borderId="15" xfId="0" applyFont="1" applyFill="1" applyBorder="1" applyAlignment="1" applyProtection="1">
      <alignment horizontal="left" vertical="center"/>
      <protection locked="0"/>
    </xf>
    <xf numFmtId="0" fontId="7" fillId="2" borderId="17" xfId="0" applyFont="1" applyFill="1" applyBorder="1" applyAlignment="1" applyProtection="1">
      <alignment horizontal="left" vertical="center"/>
      <protection locked="0"/>
    </xf>
    <xf numFmtId="0" fontId="7" fillId="2" borderId="15" xfId="0" applyFont="1" applyFill="1" applyBorder="1" applyAlignment="1" applyProtection="1">
      <alignment horizontal="center"/>
      <protection locked="0"/>
    </xf>
    <xf numFmtId="0" fontId="7" fillId="2" borderId="21" xfId="0" applyFont="1" applyFill="1" applyBorder="1" applyAlignment="1" applyProtection="1">
      <alignment horizontal="center"/>
      <protection locked="0"/>
    </xf>
    <xf numFmtId="0" fontId="7" fillId="2" borderId="17" xfId="0" applyFont="1" applyFill="1" applyBorder="1" applyAlignment="1" applyProtection="1">
      <alignment horizontal="center"/>
      <protection locked="0"/>
    </xf>
    <xf numFmtId="0" fontId="29" fillId="2" borderId="0" xfId="0" applyFont="1" applyFill="1" applyAlignment="1">
      <alignment horizontal="left" vertical="center"/>
    </xf>
    <xf numFmtId="0" fontId="25" fillId="2" borderId="0" xfId="0" applyFont="1" applyFill="1" applyAlignment="1">
      <alignment horizontal="center" vertical="center" wrapText="1"/>
    </xf>
    <xf numFmtId="0" fontId="5" fillId="11" borderId="0" xfId="0" applyFont="1" applyFill="1" applyAlignment="1">
      <alignment horizontal="center" vertical="center" wrapText="1"/>
    </xf>
    <xf numFmtId="0" fontId="7" fillId="2" borderId="8" xfId="0" applyFont="1" applyFill="1" applyBorder="1" applyAlignment="1" applyProtection="1">
      <alignment horizontal="center"/>
      <protection locked="0"/>
    </xf>
    <xf numFmtId="0" fontId="7" fillId="2" borderId="20" xfId="0" applyFont="1" applyFill="1" applyBorder="1" applyAlignment="1" applyProtection="1">
      <alignment horizontal="center"/>
      <protection locked="0"/>
    </xf>
    <xf numFmtId="0" fontId="7" fillId="2" borderId="18" xfId="0" applyFont="1" applyFill="1" applyBorder="1" applyAlignment="1" applyProtection="1">
      <alignment horizontal="center"/>
      <protection locked="0"/>
    </xf>
    <xf numFmtId="0" fontId="7" fillId="2" borderId="9" xfId="0" applyFont="1" applyFill="1" applyBorder="1" applyAlignment="1" applyProtection="1">
      <alignment horizontal="center"/>
      <protection locked="0"/>
    </xf>
    <xf numFmtId="0" fontId="7" fillId="2" borderId="1" xfId="0" applyFont="1" applyFill="1" applyBorder="1" applyAlignment="1" applyProtection="1">
      <alignment horizontal="center"/>
      <protection locked="0"/>
    </xf>
    <xf numFmtId="0" fontId="7" fillId="2" borderId="16" xfId="0" applyFont="1" applyFill="1" applyBorder="1" applyAlignment="1" applyProtection="1">
      <alignment horizontal="center"/>
      <protection locked="0"/>
    </xf>
    <xf numFmtId="0" fontId="7" fillId="2" borderId="9" xfId="0" applyFont="1" applyFill="1" applyBorder="1" applyAlignment="1" applyProtection="1">
      <alignment horizontal="left"/>
      <protection locked="0"/>
    </xf>
    <xf numFmtId="0" fontId="7" fillId="2" borderId="16" xfId="0" applyFont="1" applyFill="1" applyBorder="1" applyAlignment="1" applyProtection="1">
      <alignment horizontal="left"/>
      <protection locked="0"/>
    </xf>
    <xf numFmtId="0" fontId="29" fillId="2" borderId="63" xfId="0" applyFont="1" applyFill="1" applyBorder="1" applyAlignment="1">
      <alignment horizontal="center" vertical="center"/>
    </xf>
    <xf numFmtId="0" fontId="31" fillId="12" borderId="52" xfId="0" applyFont="1" applyFill="1" applyBorder="1" applyAlignment="1">
      <alignment horizontal="center" wrapText="1"/>
    </xf>
    <xf numFmtId="0" fontId="31" fillId="12" borderId="48" xfId="0" applyFont="1" applyFill="1" applyBorder="1" applyAlignment="1">
      <alignment horizontal="center" wrapText="1"/>
    </xf>
    <xf numFmtId="0" fontId="31" fillId="12" borderId="55" xfId="0" applyFont="1" applyFill="1" applyBorder="1" applyAlignment="1">
      <alignment horizontal="center" wrapText="1"/>
    </xf>
    <xf numFmtId="49" fontId="16" fillId="2" borderId="19" xfId="0" applyNumberFormat="1" applyFont="1" applyFill="1" applyBorder="1" applyAlignment="1">
      <alignment horizontal="center" vertical="center" wrapText="1"/>
    </xf>
    <xf numFmtId="49" fontId="16" fillId="2" borderId="0" xfId="0" applyNumberFormat="1" applyFont="1" applyFill="1" applyAlignment="1">
      <alignment horizontal="center" vertical="center" wrapText="1"/>
    </xf>
    <xf numFmtId="0" fontId="58" fillId="0" borderId="0" xfId="0" applyFont="1" applyAlignment="1">
      <alignment horizontal="center"/>
    </xf>
    <xf numFmtId="0" fontId="58" fillId="0" borderId="2" xfId="0" applyFont="1" applyBorder="1" applyAlignment="1">
      <alignment horizontal="center"/>
    </xf>
    <xf numFmtId="0" fontId="7" fillId="2" borderId="33" xfId="0" applyFont="1" applyFill="1" applyBorder="1" applyAlignment="1" applyProtection="1">
      <alignment horizontal="center" vertical="center" wrapText="1"/>
      <protection locked="0"/>
    </xf>
    <xf numFmtId="0" fontId="7" fillId="5" borderId="30" xfId="0" applyFont="1" applyFill="1" applyBorder="1" applyAlignment="1" applyProtection="1">
      <alignment horizontal="left" vertical="center" wrapText="1"/>
      <protection locked="0"/>
    </xf>
    <xf numFmtId="0" fontId="7" fillId="5" borderId="31" xfId="0" applyFont="1" applyFill="1" applyBorder="1" applyAlignment="1" applyProtection="1">
      <alignment horizontal="left" vertical="center" wrapText="1"/>
      <protection locked="0"/>
    </xf>
    <xf numFmtId="0" fontId="7" fillId="5" borderId="24" xfId="0" applyFont="1" applyFill="1" applyBorder="1" applyAlignment="1" applyProtection="1">
      <alignment horizontal="left" vertical="center" wrapText="1"/>
      <protection locked="0"/>
    </xf>
    <xf numFmtId="0" fontId="7" fillId="2" borderId="36" xfId="0" applyFont="1" applyFill="1" applyBorder="1" applyAlignment="1" applyProtection="1">
      <alignment vertical="center" wrapText="1"/>
      <protection locked="0"/>
    </xf>
    <xf numFmtId="0" fontId="7" fillId="2" borderId="37" xfId="0" applyFont="1" applyFill="1" applyBorder="1" applyAlignment="1" applyProtection="1">
      <alignment vertical="center" wrapText="1"/>
      <protection locked="0"/>
    </xf>
    <xf numFmtId="0" fontId="7" fillId="2" borderId="23" xfId="0" applyFont="1" applyFill="1" applyBorder="1" applyAlignment="1" applyProtection="1">
      <alignment vertical="center" wrapText="1"/>
      <protection locked="0"/>
    </xf>
    <xf numFmtId="0" fontId="34" fillId="0" borderId="0" xfId="0" applyFont="1" applyAlignment="1">
      <alignment horizontal="left" vertical="top" wrapText="1" indent="2"/>
    </xf>
    <xf numFmtId="0" fontId="38" fillId="0" borderId="0" xfId="0" applyFont="1" applyAlignment="1">
      <alignment horizontal="left" vertical="top" wrapText="1" indent="2"/>
    </xf>
    <xf numFmtId="0" fontId="35" fillId="0" borderId="0" xfId="0" applyFont="1" applyAlignment="1">
      <alignment horizontal="left" vertical="top" wrapText="1" indent="2"/>
    </xf>
    <xf numFmtId="0" fontId="54" fillId="0" borderId="0" xfId="0" applyFont="1" applyAlignment="1">
      <alignment horizontal="left" vertical="top" wrapText="1" indent="2"/>
    </xf>
    <xf numFmtId="0" fontId="34" fillId="0" borderId="0" xfId="0" applyFont="1" applyAlignment="1">
      <alignment horizontal="left" vertical="top"/>
    </xf>
    <xf numFmtId="0" fontId="36" fillId="0" borderId="0" xfId="0" applyFont="1" applyAlignment="1">
      <alignment horizontal="left" vertical="top" wrapText="1" indent="2"/>
    </xf>
    <xf numFmtId="0" fontId="36" fillId="0" borderId="0" xfId="0" applyFont="1" applyAlignment="1">
      <alignment horizontal="left" vertical="top" wrapText="1"/>
    </xf>
    <xf numFmtId="0" fontId="57" fillId="0" borderId="0" xfId="0" applyFont="1" applyAlignment="1">
      <alignment horizontal="center" vertical="top"/>
    </xf>
    <xf numFmtId="0" fontId="39" fillId="0" borderId="0" xfId="0" applyFont="1" applyAlignment="1">
      <alignment horizontal="left" vertical="top"/>
    </xf>
    <xf numFmtId="0" fontId="39" fillId="0" borderId="28" xfId="0" applyFont="1" applyBorder="1" applyAlignment="1">
      <alignment horizontal="left" vertical="top" indent="2"/>
    </xf>
    <xf numFmtId="0" fontId="39" fillId="0" borderId="29" xfId="0" applyFont="1" applyBorder="1" applyAlignment="1">
      <alignment horizontal="left" vertical="top" indent="2"/>
    </xf>
    <xf numFmtId="0" fontId="39" fillId="0" borderId="3" xfId="0" applyFont="1" applyBorder="1" applyAlignment="1">
      <alignment horizontal="left" vertical="top" indent="2"/>
    </xf>
    <xf numFmtId="0" fontId="39" fillId="0" borderId="0" xfId="0" applyFont="1" applyAlignment="1">
      <alignment horizontal="left" vertical="top" wrapText="1" indent="2"/>
    </xf>
    <xf numFmtId="0" fontId="39" fillId="0" borderId="0" xfId="0" applyFont="1" applyAlignment="1">
      <alignment horizontal="left" vertical="top" indent="2"/>
    </xf>
    <xf numFmtId="0" fontId="39" fillId="0" borderId="44" xfId="0" applyFont="1" applyBorder="1" applyAlignment="1">
      <alignment horizontal="left" vertical="top" wrapText="1" indent="2"/>
    </xf>
    <xf numFmtId="0" fontId="50" fillId="0" borderId="0" xfId="0" applyFont="1" applyAlignment="1">
      <alignment horizontal="left" vertical="top"/>
    </xf>
    <xf numFmtId="0" fontId="35" fillId="0" borderId="0" xfId="0" applyFont="1" applyAlignment="1">
      <alignment horizontal="left" vertical="top" wrapText="1"/>
    </xf>
    <xf numFmtId="0" fontId="34" fillId="0" borderId="0" xfId="0" applyFont="1" applyAlignment="1">
      <alignment horizontal="left" vertical="top" wrapText="1"/>
    </xf>
    <xf numFmtId="0" fontId="50" fillId="0" borderId="0" xfId="0" applyFont="1" applyAlignment="1">
      <alignment horizontal="left" vertical="top" indent="6"/>
    </xf>
    <xf numFmtId="0" fontId="45" fillId="2" borderId="0" xfId="0" applyFont="1" applyFill="1" applyAlignment="1">
      <alignment horizontal="left" vertical="top" wrapText="1" indent="2"/>
    </xf>
    <xf numFmtId="0" fontId="56" fillId="0" borderId="0" xfId="0" applyFont="1" applyAlignment="1">
      <alignment horizontal="left" vertical="top" wrapText="1" indent="2"/>
    </xf>
    <xf numFmtId="0" fontId="34" fillId="0" borderId="0" xfId="0" applyFont="1" applyAlignment="1">
      <alignment horizontal="left" vertical="top" indent="2"/>
    </xf>
    <xf numFmtId="0" fontId="34" fillId="0" borderId="0" xfId="0" applyFont="1" applyAlignment="1">
      <alignment horizontal="left" vertical="center" wrapText="1" indent="2"/>
    </xf>
    <xf numFmtId="0" fontId="34" fillId="0" borderId="0" xfId="0" applyFont="1" applyAlignment="1">
      <alignment horizontal="left" vertical="center" indent="2"/>
    </xf>
    <xf numFmtId="0" fontId="35" fillId="0" borderId="0" xfId="0" applyFont="1" applyAlignment="1">
      <alignment horizontal="left" vertical="top" indent="2"/>
    </xf>
    <xf numFmtId="0" fontId="36" fillId="0" borderId="0" xfId="0" applyFont="1" applyAlignment="1">
      <alignment horizontal="left" vertical="top" indent="2"/>
    </xf>
    <xf numFmtId="0" fontId="34" fillId="0" borderId="44" xfId="0" applyFont="1" applyBorder="1" applyAlignment="1">
      <alignment horizontal="left" vertical="top" wrapText="1" indent="2"/>
    </xf>
    <xf numFmtId="0" fontId="39" fillId="0" borderId="19" xfId="0" applyFont="1" applyBorder="1" applyAlignment="1">
      <alignment horizontal="left" vertical="top" indent="2"/>
    </xf>
    <xf numFmtId="0" fontId="39" fillId="0" borderId="28" xfId="0" applyFont="1" applyBorder="1" applyAlignment="1">
      <alignment horizontal="left" vertical="top" wrapText="1" indent="2"/>
    </xf>
    <xf numFmtId="0" fontId="39" fillId="0" borderId="29" xfId="0" applyFont="1" applyBorder="1" applyAlignment="1">
      <alignment horizontal="left" vertical="top" wrapText="1" indent="2"/>
    </xf>
    <xf numFmtId="0" fontId="39" fillId="0" borderId="3" xfId="0" applyFont="1" applyBorder="1" applyAlignment="1">
      <alignment horizontal="left" vertical="top" wrapText="1" indent="2"/>
    </xf>
    <xf numFmtId="0" fontId="45" fillId="0" borderId="0" xfId="0" applyFont="1" applyAlignment="1">
      <alignment horizontal="left" vertical="top" wrapText="1" indent="2"/>
    </xf>
    <xf numFmtId="0" fontId="45" fillId="0" borderId="44" xfId="0" applyFont="1" applyBorder="1" applyAlignment="1">
      <alignment horizontal="left" vertical="top" wrapText="1" indent="2"/>
    </xf>
    <xf numFmtId="1" fontId="35" fillId="0" borderId="0" xfId="0" applyNumberFormat="1" applyFont="1" applyAlignment="1">
      <alignment horizontal="left" vertical="top" wrapText="1" indent="2"/>
    </xf>
    <xf numFmtId="1" fontId="39" fillId="0" borderId="0" xfId="0" applyNumberFormat="1" applyFont="1" applyAlignment="1">
      <alignment horizontal="left" vertical="top" wrapText="1" indent="2"/>
    </xf>
    <xf numFmtId="0" fontId="48" fillId="0" borderId="0" xfId="0" applyFont="1" applyAlignment="1">
      <alignment horizontal="left" vertical="top" wrapText="1" indent="2"/>
    </xf>
    <xf numFmtId="0" fontId="54" fillId="0" borderId="0" xfId="0" applyFont="1" applyAlignment="1">
      <alignment horizontal="left" vertical="top" indent="2"/>
    </xf>
    <xf numFmtId="49" fontId="39" fillId="0" borderId="28" xfId="0" applyNumberFormat="1" applyFont="1" applyBorder="1" applyAlignment="1">
      <alignment horizontal="left" vertical="top" wrapText="1" indent="2"/>
    </xf>
    <xf numFmtId="49" fontId="39" fillId="0" borderId="29" xfId="0" applyNumberFormat="1" applyFont="1" applyBorder="1" applyAlignment="1">
      <alignment horizontal="left" vertical="top" wrapText="1" indent="2"/>
    </xf>
    <xf numFmtId="49" fontId="39" fillId="0" borderId="3" xfId="0" applyNumberFormat="1" applyFont="1" applyBorder="1" applyAlignment="1">
      <alignment horizontal="left" vertical="top" wrapText="1" indent="2"/>
    </xf>
    <xf numFmtId="0" fontId="45" fillId="0" borderId="0" xfId="0" applyFont="1" applyAlignment="1">
      <alignment horizontal="left" vertical="top" indent="2"/>
    </xf>
    <xf numFmtId="0" fontId="50" fillId="0" borderId="0" xfId="0" applyFont="1" applyAlignment="1">
      <alignment horizontal="left" vertical="top" wrapText="1" indent="2"/>
    </xf>
    <xf numFmtId="0" fontId="34" fillId="0" borderId="0" xfId="2" applyFont="1" applyAlignment="1">
      <alignment horizontal="left" vertical="top" wrapText="1" indent="2"/>
    </xf>
    <xf numFmtId="0" fontId="3" fillId="0" borderId="0" xfId="1" applyFill="1" applyAlignment="1" applyProtection="1">
      <alignment horizontal="left" vertical="top" wrapText="1"/>
    </xf>
    <xf numFmtId="0" fontId="35" fillId="0" borderId="0" xfId="2" applyFont="1" applyAlignment="1">
      <alignment horizontal="left" vertical="top" wrapText="1" indent="2"/>
    </xf>
    <xf numFmtId="0" fontId="39" fillId="0" borderId="28" xfId="0" applyFont="1" applyBorder="1" applyAlignment="1">
      <alignment horizontal="left" vertical="top"/>
    </xf>
    <xf numFmtId="0" fontId="39" fillId="0" borderId="29" xfId="0" applyFont="1" applyBorder="1" applyAlignment="1">
      <alignment horizontal="left" vertical="top"/>
    </xf>
    <xf numFmtId="0" fontId="39" fillId="0" borderId="3" xfId="0" applyFont="1" applyBorder="1" applyAlignment="1">
      <alignment horizontal="left" vertical="top"/>
    </xf>
    <xf numFmtId="0" fontId="35" fillId="0" borderId="0" xfId="0" applyFont="1" applyAlignment="1">
      <alignment horizontal="left" vertical="top" indent="3"/>
    </xf>
    <xf numFmtId="0" fontId="34" fillId="0" borderId="0" xfId="0" applyFont="1" applyAlignment="1">
      <alignment horizontal="left"/>
    </xf>
    <xf numFmtId="0" fontId="34" fillId="0" borderId="0" xfId="0" applyFont="1" applyAlignment="1">
      <alignment horizontal="left" wrapText="1"/>
    </xf>
    <xf numFmtId="0" fontId="35" fillId="0" borderId="28" xfId="0" applyFont="1" applyBorder="1" applyAlignment="1">
      <alignment horizontal="left"/>
    </xf>
    <xf numFmtId="0" fontId="35" fillId="0" borderId="29" xfId="0" applyFont="1" applyBorder="1" applyAlignment="1">
      <alignment horizontal="left"/>
    </xf>
    <xf numFmtId="0" fontId="35" fillId="0" borderId="3" xfId="0" applyFont="1" applyBorder="1" applyAlignment="1">
      <alignment horizontal="left"/>
    </xf>
    <xf numFmtId="0" fontId="45" fillId="2" borderId="44" xfId="0" applyFont="1" applyFill="1" applyBorder="1" applyAlignment="1">
      <alignment horizontal="left" vertical="top" wrapText="1" indent="2"/>
    </xf>
    <xf numFmtId="0" fontId="35" fillId="0" borderId="0" xfId="0" applyFont="1" applyAlignment="1">
      <alignment horizontal="left" vertical="top"/>
    </xf>
    <xf numFmtId="0" fontId="38" fillId="0" borderId="0" xfId="0" applyFont="1" applyAlignment="1">
      <alignment horizontal="left" vertical="top"/>
    </xf>
    <xf numFmtId="0" fontId="35" fillId="0" borderId="0" xfId="0" applyFont="1" applyAlignment="1">
      <alignment horizontal="left"/>
    </xf>
  </cellXfs>
  <cellStyles count="5">
    <cellStyle name="Good" xfId="4" builtinId="26"/>
    <cellStyle name="Hyperlink" xfId="1" builtinId="8"/>
    <cellStyle name="Neutral" xfId="3" builtinId="28"/>
    <cellStyle name="Normal" xfId="0" builtinId="0"/>
    <cellStyle name="Normal 2" xfId="2" xr:uid="{00000000-0005-0000-0000-000004000000}"/>
  </cellStyles>
  <dxfs count="48">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font>
        <b/>
        <i val="0"/>
        <color rgb="FFFF0000"/>
      </font>
    </dxf>
    <dxf>
      <fill>
        <patternFill>
          <bgColor theme="9" tint="-0.24994659260841701"/>
        </patternFill>
      </fill>
    </dxf>
    <dxf>
      <font>
        <b/>
        <i val="0"/>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ill>
        <patternFill>
          <bgColor theme="9" tint="0.39994506668294322"/>
        </patternFill>
      </fill>
    </dxf>
    <dxf>
      <font>
        <b/>
        <i val="0"/>
        <color rgb="FFFF0000"/>
      </font>
    </dxf>
    <dxf>
      <fill>
        <patternFill>
          <bgColor theme="9" tint="0.39994506668294322"/>
        </patternFill>
      </fill>
    </dxf>
    <dxf>
      <font>
        <color rgb="FFFF0000"/>
      </font>
    </dxf>
    <dxf>
      <font>
        <b/>
        <i val="0"/>
        <color rgb="FFFF0000"/>
      </font>
    </dxf>
  </dxfs>
  <tableStyles count="0" defaultTableStyle="TableStyleMedium9" defaultPivotStyle="PivotStyleLight16"/>
  <colors>
    <mruColors>
      <color rgb="FFFFFF99"/>
      <color rgb="FF0000FF"/>
      <color rgb="FF008000"/>
      <color rgb="FF339966"/>
      <color rgb="FFFFFF66"/>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607276</xdr:colOff>
      <xdr:row>0</xdr:row>
      <xdr:rowOff>142875</xdr:rowOff>
    </xdr:from>
    <xdr:to>
      <xdr:col>5</xdr:col>
      <xdr:colOff>677087</xdr:colOff>
      <xdr:row>2</xdr:row>
      <xdr:rowOff>152400</xdr:rowOff>
    </xdr:to>
    <xdr:pic macro="[0]!showuserform">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8351101" y="142875"/>
          <a:ext cx="1176616" cy="5715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49</xdr:col>
      <xdr:colOff>128591</xdr:colOff>
      <xdr:row>0</xdr:row>
      <xdr:rowOff>119061</xdr:rowOff>
    </xdr:from>
    <xdr:to>
      <xdr:col>49</xdr:col>
      <xdr:colOff>261941</xdr:colOff>
      <xdr:row>1</xdr:row>
      <xdr:rowOff>138111</xdr:rowOff>
    </xdr:to>
    <xdr:sp macro="[0]!ShowHideWorks" textlink="">
      <xdr:nvSpPr>
        <xdr:cNvPr id="2" name="Isosceles Triangle 1">
          <a:extLst>
            <a:ext uri="{FF2B5EF4-FFF2-40B4-BE49-F238E27FC236}">
              <a16:creationId xmlns:a16="http://schemas.microsoft.com/office/drawing/2014/main" id="{00000000-0008-0000-0000-000002000000}"/>
            </a:ext>
          </a:extLst>
        </xdr:cNvPr>
        <xdr:cNvSpPr/>
      </xdr:nvSpPr>
      <xdr:spPr bwMode="auto">
        <a:xfrm rot="16200000">
          <a:off x="47301153" y="142874"/>
          <a:ext cx="180975" cy="133350"/>
        </a:xfrm>
        <a:prstGeom prst="triangle">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xdr:from>
      <xdr:col>13</xdr:col>
      <xdr:colOff>376238</xdr:colOff>
      <xdr:row>0</xdr:row>
      <xdr:rowOff>100013</xdr:rowOff>
    </xdr:from>
    <xdr:to>
      <xdr:col>13</xdr:col>
      <xdr:colOff>509588</xdr:colOff>
      <xdr:row>1</xdr:row>
      <xdr:rowOff>119063</xdr:rowOff>
    </xdr:to>
    <xdr:sp macro="[0]!ShowHideWorks" textlink="">
      <xdr:nvSpPr>
        <xdr:cNvPr id="5" name="Isosceles Triangle 4">
          <a:extLst>
            <a:ext uri="{FF2B5EF4-FFF2-40B4-BE49-F238E27FC236}">
              <a16:creationId xmlns:a16="http://schemas.microsoft.com/office/drawing/2014/main" id="{00000000-0008-0000-0000-000005000000}"/>
            </a:ext>
          </a:extLst>
        </xdr:cNvPr>
        <xdr:cNvSpPr/>
      </xdr:nvSpPr>
      <xdr:spPr bwMode="auto">
        <a:xfrm rot="5400000" flipH="1">
          <a:off x="15725775" y="123826"/>
          <a:ext cx="180975" cy="133350"/>
        </a:xfrm>
        <a:prstGeom prst="triangle">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51</xdr:row>
      <xdr:rowOff>0</xdr:rowOff>
    </xdr:from>
    <xdr:to>
      <xdr:col>8</xdr:col>
      <xdr:colOff>215900</xdr:colOff>
      <xdr:row>55</xdr:row>
      <xdr:rowOff>76200</xdr:rowOff>
    </xdr:to>
    <xdr:sp macro="" textlink="">
      <xdr:nvSpPr>
        <xdr:cNvPr id="2053" name="Object 5" hidden="1">
          <a:extLst>
            <a:ext uri="{63B3BB69-23CF-44E3-9099-C40C66FF867C}">
              <a14:compatExt xmlns:a14="http://schemas.microsoft.com/office/drawing/2010/main"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therine.Mclaren/AppData/Local/Microsoft/Windows/INetCache/Content.Outlook/NSED63QH/DRAFT_%20NHS_LKS_Annual_Statistical_Return_2021-22-pt1_staffing_edi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istical return"/>
      <sheetName val="Guidance"/>
      <sheetName val="LOV"/>
      <sheetName val="lookup"/>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BE2A47-B024-47C4-803B-F55CF63E224E}" name="Table1" displayName="Table1" ref="A1:A12" totalsRowShown="0">
  <autoFilter ref="A1:A12" xr:uid="{3F26FC23-EC3C-4239-AC66-E4E20DC8197D}"/>
  <tableColumns count="1">
    <tableColumn id="1" xr3:uid="{2E5DF0D2-3C3B-4672-B9BB-5EB370723CCA}" name="HEE_Local_Offic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433571-82D4-4A55-B3B8-7595D4EF24C5}" name="Table2" displayName="Table2" ref="C1:C11" totalsRowShown="0" headerRowDxfId="32" dataDxfId="31">
  <autoFilter ref="C1:C11" xr:uid="{7D9EAC36-D27C-4DF0-9E42-FA9453241621}"/>
  <tableColumns count="1">
    <tableColumn id="1" xr3:uid="{AF5DD256-9A7C-4D03-87A9-F0AD292094C1}" name="East Midlands" dataDxfId="3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4EEAF6-D4B4-4E09-BAAE-21387879C5C2}" name="Table3" displayName="Table3" ref="E1:E18" totalsRowShown="0" headerRowDxfId="29" dataDxfId="28">
  <autoFilter ref="E1:E18" xr:uid="{7B18EE78-690D-47E6-A6FD-68C5E4B48BBF}"/>
  <tableColumns count="1">
    <tableColumn id="1" xr3:uid="{6AB9F2A1-1320-40F0-A094-64F808AA4569}" name="East of England" dataDxfId="2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341B70-213F-46BF-8E9F-D843FFF20AE0}" name="Table4" displayName="Table4" ref="G1:G12" totalsRowShown="0" headerRowDxfId="26" dataDxfId="25">
  <autoFilter ref="G1:G12" xr:uid="{AD734CCE-E2FF-4D83-9E0F-90C0C580F7F9}"/>
  <tableColumns count="1">
    <tableColumn id="1" xr3:uid="{1E3C7F01-71B5-4852-8FBD-0500F92C152F}" name="Kent, Surrey and Sussex" dataDxfId="2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36F0EA-F542-453D-9062-041F2C7E6301}" name="Table5" displayName="Table5" ref="I1:I32" totalsRowShown="0" headerRowDxfId="23" dataDxfId="22">
  <autoFilter ref="I1:I32" xr:uid="{04A87729-F5E9-43C9-B94B-162855DA3BA7}"/>
  <tableColumns count="1">
    <tableColumn id="1" xr3:uid="{C1D0B172-8018-44E3-826A-3C64D53E45C9}" name="London" dataDxfId="2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A5BC9F-39EE-41A7-B010-00EC7FA04833}" name="Table6" displayName="Table6" ref="K1:K11" totalsRowShown="0" headerRowDxfId="20" dataDxfId="19">
  <autoFilter ref="K1:K11" xr:uid="{EA2BD15D-F204-427F-963E-C7E0703AEB94}"/>
  <tableColumns count="1">
    <tableColumn id="1" xr3:uid="{E8AAB7CE-3B1D-44A9-99F5-33FADDF4E118}" name="North East" dataDxfId="18"/>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5BCCD0B-A12B-47A4-8E99-2923737A4F04}" name="Table7" displayName="Table7" ref="M1:M34" totalsRowShown="0" headerRowDxfId="17" dataDxfId="16">
  <autoFilter ref="M1:M34" xr:uid="{0B5F0E54-8E41-4929-931E-FA087634C9A0}"/>
  <tableColumns count="1">
    <tableColumn id="1" xr3:uid="{50EC9362-069C-4E83-8641-81ED24CC8D11}" name="North West" dataDxfId="15"/>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E334816-18BB-43DE-B055-41DE62EF6EBE}" name="Table8" displayName="Table8" ref="O1:O17" totalsRowShown="0" headerRowDxfId="14" dataDxfId="13">
  <autoFilter ref="O1:O17" xr:uid="{69069F3C-DCA8-4D88-B9B9-D3D86CB63370}"/>
  <tableColumns count="1">
    <tableColumn id="1" xr3:uid="{FFF96EA6-4686-4C30-903C-0B5A3A2D26CC}" name="South West" dataDxfId="1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F2835B4-B8D6-48C5-A9A9-F3FCF155B993}" name="Table9" displayName="Table9" ref="Q1:Q9" totalsRowShown="0" headerRowDxfId="11" dataDxfId="10">
  <autoFilter ref="Q1:Q9" xr:uid="{D5F31440-BC55-4389-8930-F5C639793732}"/>
  <tableColumns count="1">
    <tableColumn id="1" xr3:uid="{C32F75A5-0A02-4A62-AAC2-95EEB452BED4}" name="Thames Valley" dataDxfId="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2386CD5-39B9-457A-B83A-4B07D1981539}" name="Table10" displayName="Table10" ref="S1:S6" totalsRowShown="0" headerRowDxfId="8" dataDxfId="7">
  <autoFilter ref="S1:S6" xr:uid="{3F56B80F-096D-4D01-8E2A-AC88B7C8D230}"/>
  <tableColumns count="1">
    <tableColumn id="1" xr3:uid="{AC241B9F-84F8-45B6-9EE5-C24BBD16655D}" name="Wessex" dataDxfId="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377958C-B47C-465B-890B-D6CD0AD0A84D}" name="Table11" displayName="Table11" ref="U1:U23" totalsRowShown="0" headerRowDxfId="5" dataDxfId="4">
  <autoFilter ref="U1:U23" xr:uid="{18817C35-7E5D-41D6-A429-3ABD382A70EB}"/>
  <tableColumns count="1">
    <tableColumn id="1" xr3:uid="{2D892FCA-1BD7-4E0B-B699-C18609650FC6}" name="West Midlands" dataDxfId="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4DE39C-44BF-4138-B440-0E627735E1CD}" name="Table12" displayName="Table12" ref="W1:W19" totalsRowShown="0" headerRowDxfId="2" dataDxfId="1">
  <autoFilter ref="W1:W19" xr:uid="{DB2B7C45-EA8A-48C9-A961-371D68079F4E}"/>
  <tableColumns count="1">
    <tableColumn id="1" xr3:uid="{AC9AFDA6-DF16-4C96-9010-4FFF5D825623}" name="Yorks. and the Humber"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igital.nhs.uk/data-and-information/areas-of-interest/workforce/national-workforce-data-set-nwd-guidance-documents"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V212"/>
  <sheetViews>
    <sheetView showGridLines="0" tabSelected="1" topLeftCell="A82" zoomScaleNormal="100" zoomScaleSheetLayoutView="70" zoomScalePageLayoutView="98" workbookViewId="0">
      <selection activeCell="B94" sqref="B94"/>
    </sheetView>
  </sheetViews>
  <sheetFormatPr defaultColWidth="9.453125" defaultRowHeight="13" x14ac:dyDescent="0.3"/>
  <cols>
    <col min="1" max="1" width="14.26953125" style="2" customWidth="1"/>
    <col min="2" max="2" width="66" style="2" customWidth="1"/>
    <col min="3" max="3" width="18" style="2" customWidth="1"/>
    <col min="4" max="4" width="17.7265625" style="2" customWidth="1"/>
    <col min="5" max="5" width="16.7265625" style="2" customWidth="1"/>
    <col min="6" max="6" width="13.7265625" style="2" customWidth="1"/>
    <col min="7" max="8" width="14.453125" style="2" customWidth="1"/>
    <col min="9" max="9" width="15.26953125" style="2" customWidth="1"/>
    <col min="10" max="10" width="11.54296875" style="2" customWidth="1"/>
    <col min="11" max="11" width="9.453125" style="2" customWidth="1"/>
    <col min="12" max="12" width="10" style="2" customWidth="1"/>
    <col min="13" max="13" width="9.453125" style="2" customWidth="1"/>
    <col min="14" max="14" width="9" style="2" customWidth="1"/>
    <col min="15" max="15" width="9.453125" style="2" hidden="1" customWidth="1"/>
    <col min="16" max="16" width="9.453125" style="2" customWidth="1"/>
    <col min="17" max="18" width="15.453125" style="2" customWidth="1"/>
    <col min="19" max="19" width="16.26953125" style="2" customWidth="1"/>
    <col min="20" max="20" width="11.26953125" style="2" customWidth="1"/>
    <col min="21" max="21" width="24.7265625" style="2" customWidth="1"/>
    <col min="22" max="22" width="8.453125" style="14" customWidth="1"/>
    <col min="23" max="23" width="4.7265625" style="14" customWidth="1"/>
    <col min="24" max="24" width="55.26953125" style="191" customWidth="1"/>
    <col min="25" max="25" width="7.7265625" style="14" customWidth="1"/>
    <col min="26" max="26" width="48" style="11" customWidth="1"/>
    <col min="27" max="27" width="9.7265625" style="2" customWidth="1"/>
    <col min="28" max="46" width="9.453125" style="2" customWidth="1"/>
    <col min="47" max="47" width="2.7265625" style="2" customWidth="1"/>
    <col min="48" max="48" width="40.54296875" style="2" customWidth="1"/>
    <col min="49" max="176" width="9.453125" style="2" customWidth="1"/>
    <col min="177" max="16384" width="9.453125" style="2"/>
  </cols>
  <sheetData>
    <row r="1" spans="1:28" ht="13.5" x14ac:dyDescent="0.35">
      <c r="B1" s="4" t="s">
        <v>0</v>
      </c>
      <c r="D1" s="5"/>
      <c r="E1" s="6"/>
      <c r="O1" s="323" t="s">
        <v>1</v>
      </c>
      <c r="S1" s="202" t="s">
        <v>2</v>
      </c>
      <c r="T1" s="308" t="s">
        <v>3</v>
      </c>
      <c r="U1" s="202" t="s">
        <v>4</v>
      </c>
      <c r="V1" s="196" t="s">
        <v>5</v>
      </c>
      <c r="W1" s="190" t="s">
        <v>6</v>
      </c>
    </row>
    <row r="2" spans="1:28" ht="31" x14ac:dyDescent="0.3">
      <c r="B2" s="3" t="s">
        <v>7</v>
      </c>
      <c r="C2" s="348" t="s">
        <v>8</v>
      </c>
      <c r="D2" s="348"/>
      <c r="E2" s="349"/>
      <c r="O2" s="324"/>
      <c r="R2" s="249" t="s">
        <v>9</v>
      </c>
      <c r="S2" s="192" t="str">
        <f>"       &lt; Not Started &gt;"</f>
        <v xml:space="preserve">       &lt; Not Started &gt;</v>
      </c>
      <c r="T2" s="192" t="str">
        <f>"    ----&lt; IN PROGRESS &gt;----    Please check or Add…... "&amp;LineBreak</f>
        <v xml:space="preserve">    ----&lt; IN PROGRESS &gt;----    Please check or Add…...  
</v>
      </c>
      <c r="U2" s="192" t="str">
        <f>"        &lt; COMPLETE  &gt; "&amp;LineBreak</f>
        <v xml:space="preserve">        &lt; COMPLETE  &gt;  
</v>
      </c>
      <c r="V2" s="192" t="str">
        <f>" 
"</f>
        <v xml:space="preserve"> 
</v>
      </c>
      <c r="W2" s="192" t="s">
        <v>10</v>
      </c>
      <c r="X2" s="193" t="s">
        <v>11</v>
      </c>
      <c r="Y2" s="193" t="s">
        <v>12</v>
      </c>
      <c r="Z2" s="193" t="s">
        <v>13</v>
      </c>
      <c r="AA2" s="194" t="s">
        <v>14</v>
      </c>
    </row>
    <row r="3" spans="1:28" x14ac:dyDescent="0.3">
      <c r="B3" s="7"/>
      <c r="O3" s="324"/>
      <c r="U3" s="2" t="e">
        <f ca="1">OR(U4,U9,U17)</f>
        <v>#VALUE!</v>
      </c>
      <c r="V3" s="2" t="s">
        <v>15</v>
      </c>
      <c r="W3" s="2"/>
      <c r="X3" s="195" t="str">
        <f ca="1">LineBreak &amp; Indent&amp;"PROGRESS:    "&amp;D10&amp;" "&amp;E10&amp;",  "&amp;D11&amp;" "&amp;E11&amp;",  "&amp;D12&amp;" "&amp;E12&amp;LineBreak</f>
        <v xml:space="preserve"> 
                 PROGRESS:    Not Started - 17,  In Progress - 0,  Completed - 0 
</v>
      </c>
      <c r="Z3" s="196" t="str">
        <f ca="1">X3</f>
        <v xml:space="preserve"> 
                 PROGRESS:    Not Started - 17,  In Progress - 0,  Completed - 0 
</v>
      </c>
    </row>
    <row r="4" spans="1:28" ht="14.5" x14ac:dyDescent="0.3">
      <c r="A4" s="361" t="s">
        <v>16</v>
      </c>
      <c r="B4" s="7"/>
      <c r="O4" s="324"/>
      <c r="T4" s="301" t="s">
        <v>17</v>
      </c>
      <c r="U4" s="224" t="str">
        <f ca="1">IF(SUM(W6:W8)=3,NotStarted,
IF(SUM(W6:W8)=0,Finished,Started))</f>
        <v xml:space="preserve">       &lt; Not Started &gt;</v>
      </c>
      <c r="V4" s="197"/>
      <c r="W4" s="198" t="s">
        <v>18</v>
      </c>
      <c r="X4" s="199" t="str">
        <f ca="1">LineBreak &amp;LineBreak&amp;A4&amp;"  "&amp;LEFT(B4,60)&amp;U4</f>
        <v xml:space="preserve"> 
A. Local HEE office and details of LKS:         &lt; Not Started &gt;</v>
      </c>
      <c r="Y4" s="223" t="b">
        <v>1</v>
      </c>
      <c r="Z4" s="231" t="str">
        <f ca="1" xml:space="preserve"> IF(Y4,X4&amp;IF(AA4&lt;&gt;"",IF(V4&lt;&gt;"", "  ("&amp;V4&amp;")  - ",""),""),"")</f>
        <v xml:space="preserve"> 
A. Local HEE office and details of LKS:         &lt; Not Started &gt;</v>
      </c>
      <c r="AA4" s="228"/>
    </row>
    <row r="5" spans="1:28" x14ac:dyDescent="0.3">
      <c r="B5" s="60" t="s">
        <v>19</v>
      </c>
      <c r="C5" s="513"/>
      <c r="D5" s="514"/>
      <c r="E5" s="514"/>
      <c r="F5" s="515"/>
      <c r="G5" s="511" t="s">
        <v>20</v>
      </c>
      <c r="H5" s="512"/>
      <c r="I5" s="512"/>
      <c r="J5" s="512"/>
      <c r="O5" s="324" t="str">
        <f ca="1">U4</f>
        <v xml:space="preserve">       &lt; Not Started &gt;</v>
      </c>
      <c r="Q5" s="287"/>
      <c r="R5" s="287"/>
      <c r="S5" s="287"/>
      <c r="V5" s="198"/>
      <c r="W5" s="198" t="str">
        <f ca="1">IF( ISERROR(IF(OR(INDIRECT(V5)=0,INDIRECT(V5)=""),1,0)),"",IF(OR(INDIRECT(V5)=0,INDIRECT(V5)=""),1,0))</f>
        <v/>
      </c>
      <c r="X5" s="199" t="str">
        <f>LineBreak&amp;"Please Add…."&amp;LineBreak</f>
        <v xml:space="preserve"> 
Please Add…. 
</v>
      </c>
      <c r="Y5" s="224" t="e">
        <f ca="1">AND(U3,COUNTIF(W6:W8,"=1")&gt;0)</f>
        <v>#VALUE!</v>
      </c>
      <c r="Z5" s="231" t="e">
        <f ca="1" xml:space="preserve"> IF(Y5,X5&amp;IF(AA5&lt;&gt;"",IF(V5&lt;&gt;"", "  ("&amp;V5&amp;")  - ",""),""),"")</f>
        <v>#VALUE!</v>
      </c>
      <c r="AA5" s="228"/>
    </row>
    <row r="6" spans="1:28" ht="13.5" thickBot="1" x14ac:dyDescent="0.35">
      <c r="B6" s="59" t="s">
        <v>21</v>
      </c>
      <c r="C6" s="516"/>
      <c r="D6" s="517"/>
      <c r="E6" s="517"/>
      <c r="F6" s="518"/>
      <c r="G6" s="8"/>
      <c r="H6" s="8"/>
      <c r="I6" s="8"/>
      <c r="O6" s="324"/>
      <c r="V6" s="198" t="s">
        <v>22</v>
      </c>
      <c r="W6" s="198">
        <f ca="1">IF( ISERROR(IF(OR(INDIRECT(V6)=0,INDIRECT(V6)=""),1,0)),"",IF(OR(INDIRECT(V6)=0,INDIRECT(V6)=""),1,0))</f>
        <v>1</v>
      </c>
      <c r="X6" s="199" t="str">
        <f>Indent&amp;"HEE LOCAL AREA!!"</f>
        <v xml:space="preserve">                 HEE LOCAL AREA!!</v>
      </c>
      <c r="Y6" s="224" t="b">
        <f ca="1">AND($U$4=Started,W6=1)</f>
        <v>0</v>
      </c>
      <c r="Z6" s="231" t="str">
        <f ca="1" xml:space="preserve"> IF(Y6,X6&amp;IF(AA6&lt;&gt;"",IF(V6&lt;&gt;"", "  ("&amp;V6&amp;")  - ",""),""),"")</f>
        <v/>
      </c>
      <c r="AA6" s="228" t="s">
        <v>23</v>
      </c>
    </row>
    <row r="7" spans="1:28" ht="12.75" customHeight="1" x14ac:dyDescent="0.3">
      <c r="B7" s="125" t="s">
        <v>24</v>
      </c>
      <c r="C7" s="147"/>
      <c r="D7" s="318"/>
      <c r="E7" s="95"/>
      <c r="F7" s="95"/>
      <c r="G7" s="8"/>
      <c r="H7" s="8"/>
      <c r="I7" s="8"/>
      <c r="O7" s="324"/>
      <c r="V7" s="198" t="s">
        <v>25</v>
      </c>
      <c r="W7" s="198">
        <f t="shared" ref="W7:W14" ca="1" si="0">IF( ISERROR(IF(OR(INDIRECT(V7)=0,INDIRECT(V7)=""),1,0)),"",IF(OR(INDIRECT(V7)=0,INDIRECT(V7)=""),1,0))</f>
        <v>1</v>
      </c>
      <c r="X7" s="199" t="str">
        <f>Indent&amp;"Lead Library service"</f>
        <v xml:space="preserve">                 Lead Library service</v>
      </c>
      <c r="Y7" s="224" t="b">
        <f ca="1">AND($U$4=Started,W7=1)</f>
        <v>0</v>
      </c>
      <c r="Z7" s="231" t="str">
        <f t="shared" ref="Z7:Z58" ca="1" si="1" xml:space="preserve"> IF(Y7,X7&amp;IF(AA7&lt;&gt;"",IF(V7&lt;&gt;"", "  ("&amp;V7&amp;")  - ",""),""),"")</f>
        <v/>
      </c>
      <c r="AA7" s="228" t="s">
        <v>23</v>
      </c>
    </row>
    <row r="8" spans="1:28" x14ac:dyDescent="0.3">
      <c r="B8" s="6"/>
      <c r="C8" s="9"/>
      <c r="D8" s="11"/>
      <c r="E8" s="548" t="s">
        <v>26</v>
      </c>
      <c r="F8" s="548"/>
      <c r="G8" s="8"/>
      <c r="H8" s="8"/>
      <c r="I8" s="8"/>
      <c r="O8" s="324"/>
      <c r="Q8"/>
      <c r="R8"/>
      <c r="S8"/>
      <c r="T8"/>
      <c r="U8"/>
      <c r="V8" s="198" t="s">
        <v>27</v>
      </c>
      <c r="W8" s="198">
        <f t="shared" ca="1" si="0"/>
        <v>1</v>
      </c>
      <c r="X8" s="199" t="str">
        <f>Indent&amp;"Library Service Sector"</f>
        <v xml:space="preserve">                 Library Service Sector</v>
      </c>
      <c r="Y8" s="224" t="b">
        <f ca="1">AND($U$4=Started,W8=1)</f>
        <v>0</v>
      </c>
      <c r="Z8" s="231" t="str">
        <f t="shared" ca="1" si="1"/>
        <v/>
      </c>
      <c r="AA8" s="228" t="s">
        <v>23</v>
      </c>
      <c r="AB8"/>
    </row>
    <row r="9" spans="1:28" ht="14.5" x14ac:dyDescent="0.3">
      <c r="A9" s="523" t="s">
        <v>28</v>
      </c>
      <c r="B9" s="523"/>
      <c r="D9" s="11"/>
      <c r="E9" s="353" t="s">
        <v>29</v>
      </c>
      <c r="F9" s="354" t="s">
        <v>30</v>
      </c>
      <c r="G9" s="115"/>
      <c r="H9" s="8"/>
      <c r="I9" s="8"/>
      <c r="O9" s="324"/>
      <c r="T9" s="301" t="s">
        <v>17</v>
      </c>
      <c r="U9" s="224" t="str">
        <f ca="1">IF(SUM(W10:W12,W14:W16)=6,NotStarted,
IF(SUM(W10:W12,W14:W16)=0,Finished,Started))</f>
        <v xml:space="preserve">       &lt; Not Started &gt;</v>
      </c>
      <c r="V9" s="198"/>
      <c r="W9" s="198" t="str">
        <f t="shared" ca="1" si="0"/>
        <v/>
      </c>
      <c r="X9" s="199" t="str">
        <f ca="1">LineBreak &amp;LineBreak&amp;A9&amp;"  "&amp;LEFT(B9,60)&amp;U9</f>
        <v xml:space="preserve"> 
B. This form was completed by:         &lt; Not Started &gt;</v>
      </c>
      <c r="Y9" s="224" t="b">
        <v>1</v>
      </c>
      <c r="Z9" s="231" t="str">
        <f t="shared" ca="1" si="1"/>
        <v xml:space="preserve"> 
B. This form was completed by:         &lt; Not Started &gt;</v>
      </c>
      <c r="AA9" s="228" t="s">
        <v>23</v>
      </c>
    </row>
    <row r="10" spans="1:28" x14ac:dyDescent="0.3">
      <c r="A10" s="6" t="s">
        <v>31</v>
      </c>
      <c r="B10" s="56"/>
      <c r="C10" s="317"/>
      <c r="D10" s="362" t="s">
        <v>32</v>
      </c>
      <c r="E10" s="319">
        <f ca="1">COUNTIF(lstprogress,NotStarted)</f>
        <v>17</v>
      </c>
      <c r="F10" s="355">
        <f ca="1">IFERROR(MATCH(NotStarted,lstprogress,0),"")</f>
        <v>5</v>
      </c>
      <c r="G10" s="360" t="str">
        <f ca="1">HYPERLINK("#"&amp;"B"&amp;F10,"Go to section")</f>
        <v>Go to section</v>
      </c>
      <c r="H10" s="8"/>
      <c r="I10" s="8"/>
      <c r="O10" s="324" t="str">
        <f ca="1">U9</f>
        <v xml:space="preserve">       &lt; Not Started &gt;</v>
      </c>
      <c r="V10" s="198" t="s">
        <v>33</v>
      </c>
      <c r="W10" s="198">
        <f t="shared" ca="1" si="0"/>
        <v>1</v>
      </c>
      <c r="X10" s="199" t="str">
        <f>Indent&amp;"Name,"</f>
        <v xml:space="preserve">                 Name,</v>
      </c>
      <c r="Y10" s="224" t="b">
        <f ca="1">AND($U$9=Started,W10=1)</f>
        <v>0</v>
      </c>
      <c r="Z10" s="231" t="str">
        <f t="shared" ca="1" si="1"/>
        <v/>
      </c>
      <c r="AA10" s="228" t="s">
        <v>23</v>
      </c>
    </row>
    <row r="11" spans="1:28" x14ac:dyDescent="0.3">
      <c r="A11" s="6" t="s">
        <v>34</v>
      </c>
      <c r="B11" s="56"/>
      <c r="D11" s="363" t="s">
        <v>35</v>
      </c>
      <c r="E11" s="320">
        <f ca="1">COUNTIF(lstprogress,Started)</f>
        <v>0</v>
      </c>
      <c r="F11" s="355" t="str">
        <f ca="1">IFERROR(MATCH(Started,lstprogress,0),"")</f>
        <v/>
      </c>
      <c r="G11" s="360" t="str">
        <f ca="1">HYPERLINK("#"&amp;"B"&amp;F11,"Go to section")</f>
        <v>Go to section</v>
      </c>
      <c r="H11" s="8"/>
      <c r="I11" s="8"/>
      <c r="O11" s="324"/>
      <c r="V11" s="198" t="s">
        <v>36</v>
      </c>
      <c r="W11" s="198">
        <f t="shared" ca="1" si="0"/>
        <v>1</v>
      </c>
      <c r="X11" s="199" t="str">
        <f>Indent&amp;"Position, "</f>
        <v xml:space="preserve">                 Position, </v>
      </c>
      <c r="Y11" s="224" t="b">
        <f ca="1">AND($U$9=Started,W11=1)</f>
        <v>0</v>
      </c>
      <c r="Z11" s="231" t="str">
        <f t="shared" ca="1" si="1"/>
        <v/>
      </c>
      <c r="AA11" s="228" t="s">
        <v>23</v>
      </c>
    </row>
    <row r="12" spans="1:28" ht="13.5" thickBot="1" x14ac:dyDescent="0.35">
      <c r="A12" s="6" t="s">
        <v>37</v>
      </c>
      <c r="B12" s="91"/>
      <c r="D12" s="362" t="s">
        <v>38</v>
      </c>
      <c r="E12" s="321">
        <f ca="1">COUNTIF(lstprogress,Finished)</f>
        <v>0</v>
      </c>
      <c r="F12" s="356" t="str">
        <f ca="1">IFERROR(MATCH(Finished,lstprogress,0),"")</f>
        <v/>
      </c>
      <c r="G12" s="360" t="str">
        <f ca="1">HYPERLINK("#"&amp;"B"&amp;F12,"Go to section")</f>
        <v>Go to section</v>
      </c>
      <c r="H12" s="8"/>
      <c r="I12" s="8"/>
      <c r="O12" s="324"/>
      <c r="V12" s="198" t="s">
        <v>39</v>
      </c>
      <c r="W12" s="198">
        <f t="shared" ca="1" si="0"/>
        <v>1</v>
      </c>
      <c r="X12" s="199" t="str">
        <f>Indent&amp;"E-mail,"</f>
        <v xml:space="preserve">                 E-mail,</v>
      </c>
      <c r="Y12" s="224" t="b">
        <f ca="1">AND($U$9=Started,W12=1)</f>
        <v>0</v>
      </c>
      <c r="Z12" s="231" t="str">
        <f t="shared" ca="1" si="1"/>
        <v/>
      </c>
      <c r="AA12" s="228" t="s">
        <v>23</v>
      </c>
    </row>
    <row r="13" spans="1:28" x14ac:dyDescent="0.3">
      <c r="A13" s="6" t="s">
        <v>40</v>
      </c>
      <c r="B13" s="56"/>
      <c r="D13" s="8"/>
      <c r="E13" s="8"/>
      <c r="F13" s="8"/>
      <c r="G13" s="8"/>
      <c r="H13" s="8"/>
      <c r="I13" s="8"/>
      <c r="O13" s="324"/>
      <c r="V13" s="198"/>
      <c r="W13" s="198" t="str">
        <f t="shared" ca="1" si="0"/>
        <v/>
      </c>
      <c r="X13" s="199" t="str">
        <f>LineBreak</f>
        <v xml:space="preserve"> 
</v>
      </c>
      <c r="Y13" s="224" t="b">
        <f ca="1">AND($U$9=Started,SUM(W14:W16)=3)</f>
        <v>0</v>
      </c>
      <c r="Z13" s="231" t="str">
        <f t="shared" ca="1" si="1"/>
        <v/>
      </c>
      <c r="AA13" s="228" t="s">
        <v>23</v>
      </c>
    </row>
    <row r="14" spans="1:28" ht="12.75" customHeight="1" x14ac:dyDescent="0.3">
      <c r="A14" s="25" t="s">
        <v>41</v>
      </c>
      <c r="B14" s="73"/>
      <c r="D14" s="8"/>
      <c r="E14" s="8"/>
      <c r="F14" s="8"/>
      <c r="G14" s="8"/>
      <c r="H14" s="8"/>
      <c r="I14" s="8"/>
      <c r="O14" s="324"/>
      <c r="V14" s="198" t="s">
        <v>42</v>
      </c>
      <c r="W14" s="198">
        <f t="shared" ca="1" si="0"/>
        <v>1</v>
      </c>
      <c r="X14" s="199" t="str">
        <f>Indent&amp;"Tel. No., "</f>
        <v xml:space="preserve">                 Tel. No., </v>
      </c>
      <c r="Y14" s="224" t="b">
        <f ca="1">AND($U$9=Started,W14=1)</f>
        <v>0</v>
      </c>
      <c r="Z14" s="231" t="str">
        <f t="shared" ca="1" si="1"/>
        <v/>
      </c>
      <c r="AA14" s="228" t="s">
        <v>23</v>
      </c>
    </row>
    <row r="15" spans="1:28" ht="25.5" customHeight="1" x14ac:dyDescent="0.3">
      <c r="A15" s="25" t="s">
        <v>43</v>
      </c>
      <c r="B15" s="71"/>
      <c r="C15" s="6"/>
      <c r="D15" s="6"/>
      <c r="E15" s="8"/>
      <c r="F15" s="8"/>
      <c r="G15" s="8"/>
      <c r="H15" s="8"/>
      <c r="I15" s="8"/>
      <c r="O15" s="324"/>
      <c r="V15" s="198" t="s">
        <v>44</v>
      </c>
      <c r="W15" s="198">
        <f t="shared" ref="W15:W71" ca="1" si="2">IF( ISERROR(IF(OR(INDIRECT(V15)=0,INDIRECT(V15)=""),1,0)),"",IF(OR(INDIRECT(V15)=0,INDIRECT(V15)=""),1,0))</f>
        <v>1</v>
      </c>
      <c r="X15" s="199" t="str">
        <f>Indent&amp;"Date completed"</f>
        <v xml:space="preserve">                 Date completed</v>
      </c>
      <c r="Y15" s="224" t="b">
        <f ca="1">AND($U$9=Started,W15=1)</f>
        <v>0</v>
      </c>
      <c r="Z15" s="231" t="str">
        <f t="shared" ca="1" si="1"/>
        <v/>
      </c>
      <c r="AA15" s="228" t="s">
        <v>23</v>
      </c>
    </row>
    <row r="16" spans="1:28" ht="13.5" thickBot="1" x14ac:dyDescent="0.35">
      <c r="B16" s="28"/>
      <c r="D16" s="8"/>
      <c r="E16" s="8"/>
      <c r="F16" s="8"/>
      <c r="G16" s="8"/>
      <c r="H16" s="8"/>
      <c r="I16" s="8"/>
      <c r="O16" s="324"/>
      <c r="V16" s="198" t="s">
        <v>45</v>
      </c>
      <c r="W16" s="198">
        <f t="shared" ca="1" si="2"/>
        <v>1</v>
      </c>
      <c r="X16" s="199" t="str">
        <f>Indent&amp;"Period of Return"</f>
        <v xml:space="preserve">                 Period of Return</v>
      </c>
      <c r="Y16" s="224" t="b">
        <f ca="1">AND($U$9=Started,W16=1)</f>
        <v>0</v>
      </c>
      <c r="Z16" s="231" t="str">
        <f t="shared" ca="1" si="1"/>
        <v/>
      </c>
      <c r="AA16" s="228" t="s">
        <v>23</v>
      </c>
    </row>
    <row r="17" spans="1:29" s="11" customFormat="1" ht="12.75" customHeight="1" x14ac:dyDescent="0.3">
      <c r="A17" s="537" t="s">
        <v>46</v>
      </c>
      <c r="B17" s="537"/>
      <c r="C17" s="12"/>
      <c r="D17" s="459" t="s">
        <v>47</v>
      </c>
      <c r="E17" s="460"/>
      <c r="G17" s="459" t="s">
        <v>48</v>
      </c>
      <c r="H17" s="478"/>
      <c r="I17" s="478"/>
      <c r="J17" s="478"/>
      <c r="K17" s="478"/>
      <c r="L17" s="460"/>
      <c r="O17" s="325"/>
      <c r="Q17" s="2"/>
      <c r="R17" s="2"/>
      <c r="S17" s="2"/>
      <c r="T17" s="301" t="s">
        <v>17</v>
      </c>
      <c r="U17" s="224" t="str">
        <f ca="1">IF(COUNTIF(LstCompletion,"=0")+COUNTIF(LstOthers,"=0")=30,NotStarted,
IF(AND(COUNTIF(LstCompletion,"=3")=0,COUNTIF(LstCompletion,"=2")=0,COUNTIF(LstCompletion,"=1")&gt;0),"Possibly  "&amp;Finished&amp;"…?",Started))</f>
        <v xml:space="preserve">       &lt; Not Started &gt;</v>
      </c>
      <c r="V17" s="198"/>
      <c r="W17" s="198" t="str">
        <f t="shared" ca="1" si="2"/>
        <v/>
      </c>
      <c r="X17" s="199" t="str">
        <f ca="1">LineBreak &amp;LineBreak&amp;A17&amp;"  "&amp;LEFT(B17,60)&amp;U17</f>
        <v xml:space="preserve"> 
C. Names of organisations served with type of service/organisation:         &lt; Not Started &gt;</v>
      </c>
      <c r="Y17" s="225" t="b">
        <v>1</v>
      </c>
      <c r="Z17" s="231" t="str">
        <f ca="1" xml:space="preserve"> IF(Y17,X17&amp;IF(AA17&lt;&gt;"",IF(V17&lt;&gt;"", "  ("&amp;V17&amp;")  - ",""),""),"")</f>
        <v xml:space="preserve"> 
C. Names of organisations served with type of service/organisation:         &lt; Not Started &gt;</v>
      </c>
      <c r="AA17" s="228"/>
      <c r="AC17" s="2"/>
    </row>
    <row r="18" spans="1:29" s="11" customFormat="1" ht="16.5" customHeight="1" thickBot="1" x14ac:dyDescent="0.4">
      <c r="A18" s="364" t="s">
        <v>49</v>
      </c>
      <c r="B18" s="72"/>
      <c r="C18" s="72"/>
      <c r="D18" s="463"/>
      <c r="E18" s="464"/>
      <c r="G18" s="461"/>
      <c r="H18" s="539"/>
      <c r="I18" s="539"/>
      <c r="J18" s="539"/>
      <c r="K18" s="539"/>
      <c r="L18" s="462"/>
      <c r="O18" s="325"/>
      <c r="Q18" s="202" t="s">
        <v>50</v>
      </c>
      <c r="R18" s="2"/>
      <c r="S18" s="2"/>
      <c r="U18" s="203" t="s">
        <v>51</v>
      </c>
      <c r="V18" s="198" t="s">
        <v>52</v>
      </c>
      <c r="W18" s="198" t="str">
        <f t="shared" ca="1" si="2"/>
        <v/>
      </c>
      <c r="X18" s="199" t="str">
        <f>LineBreak &amp; Indent&amp;"Please add your managing organisation first"</f>
        <v xml:space="preserve"> 
                 Please add your managing organisation first</v>
      </c>
      <c r="Y18" s="309" t="b">
        <f ca="1">AND(U17=Started,COUNTIF(T19:T33,"=0")=0)</f>
        <v>0</v>
      </c>
      <c r="Z18" s="231" t="str">
        <f t="shared" ca="1" si="1"/>
        <v/>
      </c>
      <c r="AA18" s="228" t="s">
        <v>23</v>
      </c>
    </row>
    <row r="19" spans="1:29" ht="14.25" customHeight="1" x14ac:dyDescent="0.3">
      <c r="A19" s="13" t="s">
        <v>53</v>
      </c>
      <c r="B19" s="528"/>
      <c r="C19" s="529"/>
      <c r="D19" s="526"/>
      <c r="E19" s="527"/>
      <c r="F19" s="61"/>
      <c r="G19" s="540"/>
      <c r="H19" s="541"/>
      <c r="I19" s="541"/>
      <c r="J19" s="541"/>
      <c r="K19" s="541"/>
      <c r="L19" s="542"/>
      <c r="O19" s="324" t="str">
        <f ca="1">U17</f>
        <v xml:space="preserve">       &lt; Not Started &gt;</v>
      </c>
      <c r="Q19" s="204">
        <f>IF(AND(LEFT(D19,5)&lt;&gt;"other",LEN(G19)=0),0,
IF(AND(LEFT(D19,5)="other",LEN(G19)&gt;1),1,
IF(AND(LEFT(D19,5)="other",LEN(G19)=0),2,
IF(AND(LEFT(D19,5)&lt;&gt;"other",LEN(G19)&gt;1),3,""))))</f>
        <v>0</v>
      </c>
      <c r="S19" s="198" t="s">
        <v>54</v>
      </c>
      <c r="T19" s="198">
        <f ca="1">IF( ISERROR(IF(OR(INDIRECT(S19)=0,INDIRECT(S19)=""),1,0)),"",IF(OR(INDIRECT(S19)=0,INDIRECT(S19)=""),1,0))</f>
        <v>1</v>
      </c>
      <c r="U19" s="14">
        <f t="shared" ref="U19:U33" ca="1" si="3">IF(AND(T19=1,W19=1),0,
IF(AND(T19=0,W19=0),1,
IF(AND(T19=1,W19=0),2,
IF(AND(T19=0,W19=1),3))))</f>
        <v>0</v>
      </c>
      <c r="V19" s="205" t="s">
        <v>55</v>
      </c>
      <c r="W19" s="198">
        <f t="shared" ca="1" si="2"/>
        <v>1</v>
      </c>
      <c r="X19" s="199" t="str">
        <f ca="1">Indent&amp;"--You only serve "&amp;X22&amp;" organisation"&amp;IF(X22&gt;1,"s","") &amp;"?"</f>
        <v xml:space="preserve">                 --You only serve 0 organisation?</v>
      </c>
      <c r="Y19" s="224" t="b">
        <f ca="1">AND($U$17=Started,W19=1)</f>
        <v>0</v>
      </c>
      <c r="Z19" s="231" t="str">
        <f t="shared" ca="1" si="1"/>
        <v/>
      </c>
      <c r="AA19" s="228"/>
      <c r="AC19" s="11"/>
    </row>
    <row r="20" spans="1:29" x14ac:dyDescent="0.3">
      <c r="A20" s="13" t="s">
        <v>56</v>
      </c>
      <c r="B20" s="519"/>
      <c r="C20" s="520"/>
      <c r="D20" s="546"/>
      <c r="E20" s="547"/>
      <c r="F20" s="10"/>
      <c r="G20" s="543"/>
      <c r="H20" s="544"/>
      <c r="I20" s="544"/>
      <c r="J20" s="544"/>
      <c r="K20" s="544"/>
      <c r="L20" s="545"/>
      <c r="O20" s="324"/>
      <c r="Q20" s="204">
        <f t="shared" ref="Q20:Q33" si="4">IF(AND(LEFT(D20,5)&lt;&gt;"other",LEN(G20)=0),0,
IF(AND(LEFT(D20,5)="other",LEN(G20)&gt;1),1,
IF(AND(LEFT(D20,5)="other",LEN(G20)=0),2,
IF(AND(LEFT(D20,5)&lt;&gt;"other",LEN(G20)&gt;1),3,""))))</f>
        <v>0</v>
      </c>
      <c r="S20" s="198" t="s">
        <v>57</v>
      </c>
      <c r="T20" s="198">
        <f t="shared" ref="T20:T33" ca="1" si="5">IF( ISERROR(IF(OR(INDIRECT(S20)=0,INDIRECT(S20)=""),1,0)),"",IF(OR(INDIRECT(S20)=0,INDIRECT(S20)=""),1,0))</f>
        <v>1</v>
      </c>
      <c r="U20" s="14">
        <f t="shared" ca="1" si="3"/>
        <v>0</v>
      </c>
      <c r="V20" s="205" t="s">
        <v>58</v>
      </c>
      <c r="W20" s="198">
        <f t="shared" ca="1" si="2"/>
        <v>1</v>
      </c>
      <c r="X20" s="199" t="str">
        <f ca="1">LineBreak &amp;Indent&amp;" You have recorded  "&amp;X22&amp; " named organisation"&amp; IF(X22&gt;1,"s","") &amp;" "</f>
        <v xml:space="preserve"> 
                  You have recorded  0 named organisation </v>
      </c>
      <c r="Y20" s="224" t="b">
        <f ca="1">AND($U$17=Started,X22&gt;0)</f>
        <v>0</v>
      </c>
      <c r="Z20" s="231" t="str">
        <f t="shared" ca="1" si="1"/>
        <v/>
      </c>
      <c r="AA20" s="228"/>
    </row>
    <row r="21" spans="1:29" x14ac:dyDescent="0.3">
      <c r="A21" s="13" t="s">
        <v>59</v>
      </c>
      <c r="B21" s="519"/>
      <c r="C21" s="520"/>
      <c r="D21" s="524"/>
      <c r="E21" s="525"/>
      <c r="F21" s="10"/>
      <c r="G21" s="543"/>
      <c r="H21" s="544"/>
      <c r="I21" s="544"/>
      <c r="J21" s="544"/>
      <c r="K21" s="544"/>
      <c r="L21" s="545"/>
      <c r="O21" s="324"/>
      <c r="Q21" s="204">
        <f t="shared" si="4"/>
        <v>0</v>
      </c>
      <c r="S21" s="198" t="s">
        <v>60</v>
      </c>
      <c r="T21" s="198">
        <f t="shared" ca="1" si="5"/>
        <v>1</v>
      </c>
      <c r="U21" s="14">
        <f t="shared" ca="1" si="3"/>
        <v>0</v>
      </c>
      <c r="V21" s="205" t="s">
        <v>61</v>
      </c>
      <c r="W21" s="198">
        <f t="shared" ca="1" si="2"/>
        <v>1</v>
      </c>
      <c r="X21" s="199"/>
      <c r="Y21" s="223"/>
      <c r="Z21" s="231" t="str">
        <f t="shared" si="1"/>
        <v/>
      </c>
      <c r="AA21" s="228"/>
    </row>
    <row r="22" spans="1:29" x14ac:dyDescent="0.3">
      <c r="A22" s="13" t="s">
        <v>62</v>
      </c>
      <c r="B22" s="519"/>
      <c r="C22" s="520"/>
      <c r="D22" s="524"/>
      <c r="E22" s="525"/>
      <c r="F22" s="10"/>
      <c r="G22" s="543"/>
      <c r="H22" s="544"/>
      <c r="I22" s="544"/>
      <c r="J22" s="544"/>
      <c r="K22" s="544"/>
      <c r="L22" s="545"/>
      <c r="O22" s="324"/>
      <c r="Q22" s="204">
        <f t="shared" si="4"/>
        <v>0</v>
      </c>
      <c r="S22" s="198" t="s">
        <v>63</v>
      </c>
      <c r="T22" s="198">
        <f t="shared" ca="1" si="5"/>
        <v>1</v>
      </c>
      <c r="U22" s="14">
        <f t="shared" ca="1" si="3"/>
        <v>0</v>
      </c>
      <c r="V22" s="205" t="s">
        <v>64</v>
      </c>
      <c r="W22" s="198">
        <f t="shared" ca="1" si="2"/>
        <v>1</v>
      </c>
      <c r="X22" s="206">
        <f ca="1">COUNTIF(T19:T33,"=0")</f>
        <v>0</v>
      </c>
      <c r="Y22" s="223"/>
      <c r="Z22" s="231" t="str">
        <f t="shared" si="1"/>
        <v/>
      </c>
      <c r="AA22" s="228"/>
    </row>
    <row r="23" spans="1:29" x14ac:dyDescent="0.3">
      <c r="A23" s="13" t="s">
        <v>65</v>
      </c>
      <c r="B23" s="519"/>
      <c r="C23" s="520"/>
      <c r="D23" s="524"/>
      <c r="E23" s="525"/>
      <c r="F23" s="10"/>
      <c r="G23" s="543"/>
      <c r="H23" s="544"/>
      <c r="I23" s="544"/>
      <c r="J23" s="544"/>
      <c r="K23" s="544"/>
      <c r="L23" s="545"/>
      <c r="O23" s="324"/>
      <c r="Q23" s="204">
        <f t="shared" si="4"/>
        <v>0</v>
      </c>
      <c r="S23" s="198" t="s">
        <v>66</v>
      </c>
      <c r="T23" s="198">
        <f t="shared" ca="1" si="5"/>
        <v>1</v>
      </c>
      <c r="U23" s="14">
        <f t="shared" ca="1" si="3"/>
        <v>0</v>
      </c>
      <c r="V23" s="205" t="s">
        <v>67</v>
      </c>
      <c r="W23" s="198">
        <f t="shared" ca="1" si="2"/>
        <v>1</v>
      </c>
      <c r="X23" s="207">
        <f ca="1">COUNTIF(W19:W33,"=0")</f>
        <v>0</v>
      </c>
      <c r="Y23" s="223"/>
      <c r="Z23" s="231" t="str">
        <f t="shared" si="1"/>
        <v/>
      </c>
      <c r="AA23" s="228"/>
    </row>
    <row r="24" spans="1:29" x14ac:dyDescent="0.3">
      <c r="A24" s="13" t="s">
        <v>68</v>
      </c>
      <c r="B24" s="519"/>
      <c r="C24" s="520"/>
      <c r="D24" s="524"/>
      <c r="E24" s="525"/>
      <c r="F24" s="10"/>
      <c r="G24" s="543"/>
      <c r="H24" s="544"/>
      <c r="I24" s="544"/>
      <c r="J24" s="544"/>
      <c r="K24" s="544"/>
      <c r="L24" s="545"/>
      <c r="O24" s="324"/>
      <c r="Q24" s="204">
        <f t="shared" si="4"/>
        <v>0</v>
      </c>
      <c r="S24" s="198" t="s">
        <v>69</v>
      </c>
      <c r="T24" s="198">
        <f t="shared" ca="1" si="5"/>
        <v>1</v>
      </c>
      <c r="U24" s="14">
        <f t="shared" ca="1" si="3"/>
        <v>0</v>
      </c>
      <c r="V24" s="205" t="s">
        <v>70</v>
      </c>
      <c r="W24" s="198">
        <f t="shared" ca="1" si="2"/>
        <v>1</v>
      </c>
      <c r="X24" s="199" t="str">
        <f ca="1">LineBreak &amp;Indent&amp; COUNTIF(LstCompletion,"=1")&amp;" Organisation"&amp; IF(COUNTIF(LstCompletion,"=1")&gt;1,"s","")&amp; " correctly recorded"</f>
        <v xml:space="preserve"> 
                 0 Organisation correctly recorded</v>
      </c>
      <c r="Y24" s="224" t="b">
        <f ca="1">AND(U17,AND(COUNTIF(LstCompletion,"=1")&gt;0,OR(COUNTIF(LstCompletion,"=2")&gt;0,COUNTIF(LstCompletion,"=3")&gt;0)))</f>
        <v>0</v>
      </c>
      <c r="Z24" s="231" t="str">
        <f t="shared" ca="1" si="1"/>
        <v/>
      </c>
      <c r="AA24" s="228"/>
    </row>
    <row r="25" spans="1:29" x14ac:dyDescent="0.3">
      <c r="A25" s="13" t="s">
        <v>71</v>
      </c>
      <c r="B25" s="519"/>
      <c r="C25" s="520"/>
      <c r="D25" s="524"/>
      <c r="E25" s="525"/>
      <c r="F25" s="10"/>
      <c r="G25" s="543"/>
      <c r="H25" s="544"/>
      <c r="I25" s="544"/>
      <c r="J25" s="544"/>
      <c r="K25" s="544"/>
      <c r="L25" s="545"/>
      <c r="O25" s="324"/>
      <c r="Q25" s="204">
        <f t="shared" si="4"/>
        <v>0</v>
      </c>
      <c r="S25" s="198" t="s">
        <v>72</v>
      </c>
      <c r="T25" s="198">
        <f t="shared" ca="1" si="5"/>
        <v>1</v>
      </c>
      <c r="U25" s="14">
        <f t="shared" ca="1" si="3"/>
        <v>0</v>
      </c>
      <c r="V25" s="205" t="s">
        <v>73</v>
      </c>
      <c r="W25" s="198">
        <f t="shared" ca="1" si="2"/>
        <v>1</v>
      </c>
      <c r="X25" s="199" t="str">
        <f ca="1">LineBreak &amp;Indent&amp;"Please correct  "&amp;COUNTIF(LstCompletion,"=2")&amp;" recorded 'Type"&amp; IF(COUNTIF(LstCompletion,"=2")&gt;1,"s","")&amp; " of Service' missing a 'Organisation Name' "</f>
        <v xml:space="preserve"> 
                 Please correct  0 recorded 'Type of Service' missing a 'Organisation Name' </v>
      </c>
      <c r="Y25" s="224" t="b">
        <f ca="1">AND(U17,COUNTIF(LstCompletion,"=2")&gt;0)</f>
        <v>0</v>
      </c>
      <c r="Z25" s="231" t="str">
        <f t="shared" ca="1" si="1"/>
        <v/>
      </c>
      <c r="AA25" s="228"/>
    </row>
    <row r="26" spans="1:29" x14ac:dyDescent="0.3">
      <c r="A26" s="13" t="s">
        <v>74</v>
      </c>
      <c r="B26" s="519"/>
      <c r="C26" s="520"/>
      <c r="D26" s="524"/>
      <c r="E26" s="525"/>
      <c r="F26" s="10"/>
      <c r="G26" s="543"/>
      <c r="H26" s="544"/>
      <c r="I26" s="544"/>
      <c r="J26" s="544"/>
      <c r="K26" s="544"/>
      <c r="L26" s="545"/>
      <c r="O26" s="324"/>
      <c r="Q26" s="204">
        <f t="shared" si="4"/>
        <v>0</v>
      </c>
      <c r="S26" s="198" t="s">
        <v>75</v>
      </c>
      <c r="T26" s="198">
        <f t="shared" ca="1" si="5"/>
        <v>1</v>
      </c>
      <c r="U26" s="14">
        <f t="shared" ca="1" si="3"/>
        <v>0</v>
      </c>
      <c r="V26" s="205" t="s">
        <v>76</v>
      </c>
      <c r="W26" s="198">
        <f t="shared" ca="1" si="2"/>
        <v>1</v>
      </c>
      <c r="X26" s="199" t="str">
        <f ca="1">LineBreak &amp;Indent&amp;"Please correct  "&amp;COUNTIF(LstCompletion,"=3")&amp;" recorded 'Organisation"&amp; IF(COUNTIF(LstCompletion,"=3")&gt;1,"s","")&amp; "' missing an 'Type of Service' "</f>
        <v xml:space="preserve"> 
                 Please correct  0 recorded 'Organisation' missing an 'Type of Service' </v>
      </c>
      <c r="Y26" s="224" t="b">
        <f ca="1">AND(U17,COUNTIF(LstCompletion,"=3")&gt;0)</f>
        <v>0</v>
      </c>
      <c r="Z26" s="231" t="str">
        <f t="shared" ca="1" si="1"/>
        <v/>
      </c>
      <c r="AA26" s="228"/>
    </row>
    <row r="27" spans="1:29" x14ac:dyDescent="0.3">
      <c r="A27" s="13" t="s">
        <v>77</v>
      </c>
      <c r="B27" s="519"/>
      <c r="C27" s="520"/>
      <c r="D27" s="530"/>
      <c r="E27" s="531"/>
      <c r="F27" s="10"/>
      <c r="G27" s="543"/>
      <c r="H27" s="544"/>
      <c r="I27" s="544"/>
      <c r="J27" s="544"/>
      <c r="K27" s="544"/>
      <c r="L27" s="545"/>
      <c r="O27" s="324"/>
      <c r="Q27" s="204">
        <f t="shared" si="4"/>
        <v>0</v>
      </c>
      <c r="S27" s="198" t="s">
        <v>78</v>
      </c>
      <c r="T27" s="198">
        <f t="shared" ca="1" si="5"/>
        <v>1</v>
      </c>
      <c r="U27" s="14">
        <f t="shared" ca="1" si="3"/>
        <v>0</v>
      </c>
      <c r="V27" s="205" t="s">
        <v>79</v>
      </c>
      <c r="W27" s="198">
        <f t="shared" ca="1" si="2"/>
        <v>1</v>
      </c>
      <c r="X27" s="199" t="str">
        <f ca="1">LineBreak &amp;Indent&amp;"All ("&amp; COUNTIF(LstCompletion,"=1")&amp; ") Service"&amp;IF(COUNTIF(LstCompletion,"=1")&gt;1,"s","")&amp;" correctly recorded with a category type"</f>
        <v xml:space="preserve"> 
                 All (0) Service correctly recorded with a category type</v>
      </c>
      <c r="Y27" s="224" t="b">
        <f ca="1">AND(U17,AND(COUNTIF(LstCompletion,"=1")&gt;0,COUNTIF(LstCompletion,"=2")=0,COUNTIF(LstCompletion,"=3")=0))</f>
        <v>0</v>
      </c>
      <c r="Z27" s="231" t="str">
        <f t="shared" ca="1" si="1"/>
        <v/>
      </c>
      <c r="AA27" s="228"/>
    </row>
    <row r="28" spans="1:29" x14ac:dyDescent="0.3">
      <c r="A28" s="13" t="s">
        <v>80</v>
      </c>
      <c r="B28" s="105"/>
      <c r="C28" s="106"/>
      <c r="D28" s="530"/>
      <c r="E28" s="531"/>
      <c r="F28" s="10"/>
      <c r="G28" s="543"/>
      <c r="H28" s="544"/>
      <c r="I28" s="544"/>
      <c r="J28" s="544"/>
      <c r="K28" s="544"/>
      <c r="L28" s="545"/>
      <c r="O28" s="324"/>
      <c r="Q28" s="204">
        <f t="shared" si="4"/>
        <v>0</v>
      </c>
      <c r="S28" s="198" t="s">
        <v>81</v>
      </c>
      <c r="T28" s="198">
        <f t="shared" ca="1" si="5"/>
        <v>1</v>
      </c>
      <c r="U28" s="14">
        <f t="shared" ca="1" si="3"/>
        <v>0</v>
      </c>
      <c r="V28" s="205" t="s">
        <v>82</v>
      </c>
      <c r="W28" s="198">
        <f t="shared" ca="1" si="2"/>
        <v>1</v>
      </c>
      <c r="X28" s="208">
        <f>COUNTA(LstOthers)-COUNTIF(LstOthers,"=0")</f>
        <v>0</v>
      </c>
      <c r="Y28" s="225" t="b">
        <v>0</v>
      </c>
      <c r="Z28" s="231" t="str">
        <f t="shared" si="1"/>
        <v/>
      </c>
      <c r="AA28" s="228"/>
    </row>
    <row r="29" spans="1:29" x14ac:dyDescent="0.3">
      <c r="A29" s="13" t="s">
        <v>83</v>
      </c>
      <c r="B29" s="105"/>
      <c r="C29" s="106"/>
      <c r="D29" s="530"/>
      <c r="E29" s="531"/>
      <c r="F29" s="10"/>
      <c r="G29" s="543"/>
      <c r="H29" s="544"/>
      <c r="I29" s="544"/>
      <c r="J29" s="544"/>
      <c r="K29" s="544"/>
      <c r="L29" s="545"/>
      <c r="O29" s="324"/>
      <c r="Q29" s="204">
        <f t="shared" si="4"/>
        <v>0</v>
      </c>
      <c r="S29" s="198" t="s">
        <v>84</v>
      </c>
      <c r="T29" s="198">
        <f t="shared" ca="1" si="5"/>
        <v>1</v>
      </c>
      <c r="U29" s="14">
        <f t="shared" ca="1" si="3"/>
        <v>0</v>
      </c>
      <c r="V29" s="205" t="s">
        <v>85</v>
      </c>
      <c r="W29" s="198">
        <f t="shared" ca="1" si="2"/>
        <v>1</v>
      </c>
      <c r="X29" s="209" t="str">
        <f>LineBreak &amp;Indent&amp;"'Other' Types of Service:"</f>
        <v xml:space="preserve"> 
                 'Other' Types of Service:</v>
      </c>
      <c r="Y29" s="224" t="b">
        <f ca="1">AND(U17,X28&gt;0)</f>
        <v>0</v>
      </c>
      <c r="Z29" s="231" t="str">
        <f t="shared" ca="1" si="1"/>
        <v/>
      </c>
      <c r="AA29" s="228"/>
    </row>
    <row r="30" spans="1:29" x14ac:dyDescent="0.3">
      <c r="A30" s="13" t="s">
        <v>86</v>
      </c>
      <c r="B30" s="105"/>
      <c r="C30" s="106"/>
      <c r="D30" s="530"/>
      <c r="E30" s="531"/>
      <c r="F30" s="10"/>
      <c r="G30" s="543"/>
      <c r="H30" s="544"/>
      <c r="I30" s="544"/>
      <c r="J30" s="544"/>
      <c r="K30" s="544"/>
      <c r="L30" s="545"/>
      <c r="O30" s="324"/>
      <c r="Q30" s="204">
        <f t="shared" si="4"/>
        <v>0</v>
      </c>
      <c r="S30" s="198" t="s">
        <v>87</v>
      </c>
      <c r="T30" s="198">
        <f t="shared" ca="1" si="5"/>
        <v>1</v>
      </c>
      <c r="U30" s="14">
        <f t="shared" ca="1" si="3"/>
        <v>0</v>
      </c>
      <c r="V30" s="205" t="s">
        <v>88</v>
      </c>
      <c r="W30" s="198">
        <f t="shared" ca="1" si="2"/>
        <v>1</v>
      </c>
      <c r="X30" s="199" t="str">
        <f>Indent&amp;COUNTIF(LstOthers,"=1")&amp;" 'Other Type"&amp; IF(COUNTIF(LstOthers,"=1")&gt;1,"s","")&amp; " of Service'  ha"&amp; IF(COUNTIF(LstOthers,"=1")&gt;1,"ve","s")&amp; " explanation"&amp; IF(COUNTIF(LstOthers,"=1")&gt;1,"s","")</f>
        <v xml:space="preserve">                 0 'Other Type of Service'  has explanation</v>
      </c>
      <c r="Y30" s="224" t="b">
        <f ca="1">AND(U17,AND(COUNTIF(LstOthers,"=1")&lt;&gt;X28,COUNTIF(LstOthers,"=1")&gt;0))</f>
        <v>0</v>
      </c>
      <c r="Z30" s="231" t="str">
        <f t="shared" ca="1" si="1"/>
        <v/>
      </c>
      <c r="AA30" s="228"/>
    </row>
    <row r="31" spans="1:29" x14ac:dyDescent="0.3">
      <c r="A31" s="13" t="s">
        <v>89</v>
      </c>
      <c r="B31" s="105"/>
      <c r="C31" s="106"/>
      <c r="D31" s="530"/>
      <c r="E31" s="531"/>
      <c r="F31" s="10"/>
      <c r="G31" s="543"/>
      <c r="H31" s="544"/>
      <c r="I31" s="544"/>
      <c r="J31" s="544"/>
      <c r="K31" s="544"/>
      <c r="L31" s="545"/>
      <c r="O31" s="324"/>
      <c r="Q31" s="204">
        <f t="shared" si="4"/>
        <v>0</v>
      </c>
      <c r="S31" s="198" t="s">
        <v>90</v>
      </c>
      <c r="T31" s="198">
        <f t="shared" ca="1" si="5"/>
        <v>1</v>
      </c>
      <c r="U31" s="14">
        <f t="shared" ca="1" si="3"/>
        <v>0</v>
      </c>
      <c r="V31" s="205" t="s">
        <v>91</v>
      </c>
      <c r="W31" s="198">
        <f t="shared" ca="1" si="2"/>
        <v>1</v>
      </c>
      <c r="X31" s="199" t="str">
        <f>Indent&amp;COUNTIF(LstOthers,"=2")&amp;" 'Other Type"&amp; IF(COUNTIF(LstOthers,"=2")&gt;1,"s","")&amp; " of Service' still need"&amp; IF(COUNTIF(LstOthers,"=2")&gt;1,"","s")&amp; " an Explanation "</f>
        <v xml:space="preserve">                 0 'Other Type of Service' still needs an Explanation </v>
      </c>
      <c r="Y31" s="224" t="b">
        <f ca="1">AND(U17,COUNTIF(LstOthers,"=2")&gt;0)</f>
        <v>0</v>
      </c>
      <c r="Z31" s="231" t="str">
        <f t="shared" ca="1" si="1"/>
        <v/>
      </c>
      <c r="AA31" s="228"/>
    </row>
    <row r="32" spans="1:29" x14ac:dyDescent="0.3">
      <c r="A32" s="13" t="s">
        <v>92</v>
      </c>
      <c r="B32" s="105"/>
      <c r="C32" s="106"/>
      <c r="D32" s="530"/>
      <c r="E32" s="531"/>
      <c r="F32" s="10"/>
      <c r="G32" s="543"/>
      <c r="H32" s="544"/>
      <c r="I32" s="544"/>
      <c r="J32" s="544"/>
      <c r="K32" s="544"/>
      <c r="L32" s="545"/>
      <c r="O32" s="324"/>
      <c r="Q32" s="204">
        <f t="shared" si="4"/>
        <v>0</v>
      </c>
      <c r="S32" s="198" t="s">
        <v>93</v>
      </c>
      <c r="T32" s="198">
        <f t="shared" ca="1" si="5"/>
        <v>1</v>
      </c>
      <c r="U32" s="14">
        <f t="shared" ca="1" si="3"/>
        <v>0</v>
      </c>
      <c r="V32" s="205" t="s">
        <v>94</v>
      </c>
      <c r="W32" s="198">
        <f t="shared" ca="1" si="2"/>
        <v>1</v>
      </c>
      <c r="X32" s="199" t="str">
        <f>Indent&amp;COUNTIF(LstOthers,"=3")&amp;" explanation"&amp; IF(COUNTIF(LstOthers,"=3")&gt;1,"s","")&amp; " with no reference to an 'Other Type' of organisation "</f>
        <v xml:space="preserve">                 0 explanation with no reference to an 'Other Type' of organisation </v>
      </c>
      <c r="Y32" s="224" t="b">
        <f ca="1">AND(U17,COUNTIF(LstOthers,"=3")&gt;0)</f>
        <v>0</v>
      </c>
      <c r="Z32" s="231" t="str">
        <f t="shared" ca="1" si="1"/>
        <v/>
      </c>
      <c r="AA32" s="228"/>
    </row>
    <row r="33" spans="1:29" ht="13.5" thickBot="1" x14ac:dyDescent="0.35">
      <c r="A33" s="13" t="s">
        <v>95</v>
      </c>
      <c r="B33" s="521"/>
      <c r="C33" s="522"/>
      <c r="D33" s="532"/>
      <c r="E33" s="533"/>
      <c r="F33" s="10"/>
      <c r="G33" s="534"/>
      <c r="H33" s="535"/>
      <c r="I33" s="535"/>
      <c r="J33" s="535"/>
      <c r="K33" s="535"/>
      <c r="L33" s="536"/>
      <c r="O33" s="324"/>
      <c r="Q33" s="204">
        <f t="shared" si="4"/>
        <v>0</v>
      </c>
      <c r="S33" s="198" t="s">
        <v>96</v>
      </c>
      <c r="T33" s="198">
        <f t="shared" ca="1" si="5"/>
        <v>1</v>
      </c>
      <c r="U33" s="14">
        <f t="shared" ca="1" si="3"/>
        <v>0</v>
      </c>
      <c r="V33" s="205" t="s">
        <v>97</v>
      </c>
      <c r="W33" s="198">
        <f t="shared" ca="1" si="2"/>
        <v>1</v>
      </c>
      <c r="X33" s="199" t="str">
        <f>Indent&amp;"All ("&amp; COUNTIF(LstOthers,"=1")&amp; ") 'Other type"&amp;IF(COUNTIF(LstOthers,"=1")&gt;1,"s","")&amp;" of Service' ha"&amp;IF(COUNTIF(LstOthers,"=1")&gt;1,"ve","s an")&amp;" explanation"&amp;IF(COUNTIF(LstOthers,"=1")&gt;1,"s","")</f>
        <v xml:space="preserve">                 All (0) 'Other type of Service' has an explanation</v>
      </c>
      <c r="Y33" s="226" t="b">
        <f ca="1">AND(U17,IF(X28=0,FALSE,
IF(COUNTIF(LstOthers,"=1")=X28,TRUE,FALSE)))</f>
        <v>0</v>
      </c>
      <c r="Z33" s="231" t="str">
        <f t="shared" ca="1" si="1"/>
        <v/>
      </c>
      <c r="AA33" s="228"/>
    </row>
    <row r="34" spans="1:29" x14ac:dyDescent="0.3">
      <c r="A34" s="13"/>
      <c r="B34" s="10"/>
      <c r="D34" s="10"/>
      <c r="E34" s="10"/>
      <c r="F34" s="10"/>
      <c r="G34" s="10"/>
      <c r="O34" s="324"/>
      <c r="V34" s="198"/>
      <c r="W34" s="198" t="str">
        <f t="shared" ca="1" si="2"/>
        <v/>
      </c>
      <c r="X34" s="199"/>
      <c r="Y34" s="224"/>
      <c r="Z34" s="231" t="str">
        <f t="shared" si="1"/>
        <v/>
      </c>
      <c r="AA34" s="228" t="s">
        <v>23</v>
      </c>
    </row>
    <row r="35" spans="1:29" x14ac:dyDescent="0.3">
      <c r="A35" s="15" t="s">
        <v>98</v>
      </c>
      <c r="B35" s="16"/>
      <c r="O35" s="324"/>
      <c r="V35" s="198"/>
      <c r="W35" s="198" t="str">
        <f t="shared" ca="1" si="2"/>
        <v/>
      </c>
      <c r="X35" s="199"/>
      <c r="Y35" s="224"/>
      <c r="Z35" s="231" t="str">
        <f t="shared" si="1"/>
        <v/>
      </c>
      <c r="AA35" s="228" t="s">
        <v>23</v>
      </c>
    </row>
    <row r="36" spans="1:29" s="11" customFormat="1" x14ac:dyDescent="0.3">
      <c r="A36" s="17"/>
      <c r="B36" s="18"/>
      <c r="C36" s="19"/>
      <c r="D36" s="18"/>
      <c r="E36" s="18"/>
      <c r="F36" s="18"/>
      <c r="G36" s="20"/>
      <c r="O36" s="325"/>
      <c r="Q36" s="2"/>
      <c r="R36" s="2"/>
      <c r="S36" s="2"/>
      <c r="T36" s="2"/>
      <c r="U36" s="2"/>
      <c r="V36" s="198"/>
      <c r="W36" s="198" t="str">
        <f t="shared" ca="1" si="2"/>
        <v/>
      </c>
      <c r="X36" s="199" t="str">
        <f>LineBreak</f>
        <v xml:space="preserve"> 
</v>
      </c>
      <c r="Y36" s="225"/>
      <c r="Z36" s="231" t="str">
        <f t="shared" si="1"/>
        <v/>
      </c>
      <c r="AA36" s="228"/>
      <c r="AB36" s="2"/>
      <c r="AC36" s="2"/>
    </row>
    <row r="37" spans="1:29" ht="23.25" customHeight="1" x14ac:dyDescent="0.3">
      <c r="A37" s="538" t="s">
        <v>99</v>
      </c>
      <c r="B37" s="538"/>
      <c r="C37" s="538"/>
      <c r="D37" s="538"/>
      <c r="E37" s="538"/>
      <c r="F37" s="538"/>
      <c r="G37" s="538"/>
      <c r="H37" s="538"/>
      <c r="I37" s="21"/>
      <c r="O37" s="324"/>
      <c r="Q37" s="21"/>
      <c r="R37" s="21"/>
      <c r="S37" s="21"/>
      <c r="T37" s="301" t="s">
        <v>17</v>
      </c>
      <c r="U37" s="224" t="str">
        <f ca="1">IF(SUM(W40:W48,W50:W56)=16,NotStarted,
IF(SUM(W40:W48,W50:W56)=0,Finished,Started))</f>
        <v xml:space="preserve">       &lt; Not Started &gt;</v>
      </c>
      <c r="V37" s="198" t="s">
        <v>100</v>
      </c>
      <c r="W37" s="198">
        <f t="shared" ca="1" si="2"/>
        <v>0</v>
      </c>
      <c r="X37" s="199" t="str">
        <f ca="1">LineBreak &amp;LineBreak&amp;A38&amp;"  "&amp;LEFT(B38,60)&amp;U37</f>
        <v xml:space="preserve"> 
1  USERS        &lt; Not Started &gt;</v>
      </c>
      <c r="Y37" s="225" t="b">
        <f>TRUE</f>
        <v>1</v>
      </c>
      <c r="Z37" s="231" t="str">
        <f ca="1" xml:space="preserve"> IF(Y37,X37&amp;IF(AA37&lt;&gt;"",IF(V37&lt;&gt;"", "  ("&amp;V37&amp;")  - ",""),""),"")</f>
        <v xml:space="preserve"> 
1  USERS        &lt; Not Started &gt;</v>
      </c>
      <c r="AA37" s="228"/>
      <c r="AB37" s="21"/>
      <c r="AC37" s="11"/>
    </row>
    <row r="38" spans="1:29" s="24" customFormat="1" ht="21" customHeight="1" thickBot="1" x14ac:dyDescent="0.35">
      <c r="A38" s="22" t="s">
        <v>101</v>
      </c>
      <c r="B38" s="86" t="s">
        <v>102</v>
      </c>
      <c r="O38" s="326"/>
      <c r="Q38" s="47"/>
      <c r="R38" s="47"/>
      <c r="S38" s="47"/>
      <c r="T38" s="47"/>
      <c r="U38" s="210">
        <f ca="1">U39+U49</f>
        <v>16</v>
      </c>
      <c r="V38" s="198"/>
      <c r="W38" s="198" t="str">
        <f t="shared" ca="1" si="2"/>
        <v/>
      </c>
      <c r="X38" s="302" t="str">
        <f ca="1">IF(U37=NotStarted,Indent&amp;"No Users Identified yet..","")</f>
        <v xml:space="preserve">                 No Users Identified yet..</v>
      </c>
      <c r="Y38" s="224"/>
      <c r="Z38" s="231" t="str">
        <f t="shared" si="1"/>
        <v/>
      </c>
      <c r="AA38" s="228" t="s">
        <v>23</v>
      </c>
      <c r="AB38" s="47"/>
      <c r="AC38" s="2"/>
    </row>
    <row r="39" spans="1:29" s="11" customFormat="1" ht="24.75" customHeight="1" thickBot="1" x14ac:dyDescent="0.35">
      <c r="A39" s="21"/>
      <c r="B39" s="23" t="s">
        <v>103</v>
      </c>
      <c r="C39" s="120" t="s">
        <v>104</v>
      </c>
      <c r="D39" s="357" t="str">
        <f>IF(LEN(concatenateRange($C$40:$C$48,""))&gt;0,"","Please enter '0' if none")</f>
        <v>Please enter '0' if none</v>
      </c>
      <c r="E39" s="21"/>
      <c r="F39" s="450" t="s">
        <v>105</v>
      </c>
      <c r="G39" s="451"/>
      <c r="H39" s="451"/>
      <c r="I39" s="451"/>
      <c r="J39" s="451"/>
      <c r="K39" s="451"/>
      <c r="L39" s="452"/>
      <c r="M39"/>
      <c r="O39" s="325"/>
      <c r="U39" s="216">
        <f ca="1">SUM(W40:W48)</f>
        <v>9</v>
      </c>
      <c r="V39" s="198" t="s">
        <v>106</v>
      </c>
      <c r="W39" s="198">
        <f t="shared" ca="1" si="2"/>
        <v>0</v>
      </c>
      <c r="X39" s="201" t="str">
        <f ca="1">Indent&amp;B39 &amp; IF(U39=9,":   No data entered"," - Just to check."&amp;LineBreak)</f>
        <v xml:space="preserve">                 ESR Staff Groups:   No data entered</v>
      </c>
      <c r="Y39" s="224" t="b">
        <f ca="1">(U37=Started)</f>
        <v>0</v>
      </c>
      <c r="Z39" s="231" t="str">
        <f ca="1" xml:space="preserve"> IF(Y39,LineBreak&amp;X39&amp; IF(AA39&lt;&gt;"",IF(V39&lt;&gt;"", "  ("&amp;V39&amp;")  - ",""),""),"")</f>
        <v/>
      </c>
      <c r="AA39" s="228"/>
      <c r="AC39" s="24"/>
    </row>
    <row r="40" spans="1:29" s="11" customFormat="1" x14ac:dyDescent="0.3">
      <c r="A40" s="26">
        <v>1.1000000000000001</v>
      </c>
      <c r="B40" s="8" t="s">
        <v>107</v>
      </c>
      <c r="C40" s="116"/>
      <c r="D40" s="310" t="str">
        <f>IF(AND(LEN(concatenateRange($C$40:$C$48,""))&gt;0,C40=""),"...…Please enter '0' if none","")</f>
        <v/>
      </c>
      <c r="E40" s="21"/>
      <c r="F40" s="468"/>
      <c r="G40" s="469"/>
      <c r="H40" s="469"/>
      <c r="I40" s="469"/>
      <c r="J40" s="469"/>
      <c r="K40" s="469"/>
      <c r="L40" s="470"/>
      <c r="M40"/>
      <c r="O40" s="325" t="str">
        <f ca="1">U37</f>
        <v xml:space="preserve">       &lt; Not Started &gt;</v>
      </c>
      <c r="V40" s="198" t="s">
        <v>108</v>
      </c>
      <c r="W40" s="198">
        <f ca="1">IF( ISERROR(IF(INDIRECT(V40)="",1,0)),"",IF(INDIRECT(V40)="",1,0))</f>
        <v>1</v>
      </c>
      <c r="X40" s="199" t="str">
        <f t="shared" ref="X40:X47" si="6">LineBreak&amp;Indent &amp;"No " &amp;B40 &amp;" users ?     Please record as '0' if true"</f>
        <v xml:space="preserve"> 
                 No Additional Clinical Services users ?     Please record as '0' if true</v>
      </c>
      <c r="Y40" s="224" t="b">
        <f ca="1">IF(AND(OR(ISNUMBER(INDIRECT(V40))=FALSE,INDIRECT(V40)&lt;&gt;0),$U$39&lt;&gt;9,W40=1),TRUE,FALSE)</f>
        <v>0</v>
      </c>
      <c r="Z40" s="231" t="str">
        <f t="shared" ca="1" si="1"/>
        <v/>
      </c>
      <c r="AA40" s="228" t="s">
        <v>23</v>
      </c>
    </row>
    <row r="41" spans="1:29" s="11" customFormat="1" x14ac:dyDescent="0.3">
      <c r="A41" s="26">
        <v>1.2</v>
      </c>
      <c r="B41" s="8" t="s">
        <v>109</v>
      </c>
      <c r="C41" s="74"/>
      <c r="D41" s="310" t="str">
        <f>IF(AND(LEN(concatenateRange($C$40:$C$48,""))&gt;0,C41=""),"...…Please enter '0' if none","")</f>
        <v/>
      </c>
      <c r="E41" s="21"/>
      <c r="F41" s="471"/>
      <c r="G41" s="472"/>
      <c r="H41" s="472"/>
      <c r="I41" s="472"/>
      <c r="J41" s="472"/>
      <c r="K41" s="472"/>
      <c r="L41" s="473"/>
      <c r="M41"/>
      <c r="O41" s="325"/>
      <c r="V41" s="198" t="s">
        <v>110</v>
      </c>
      <c r="W41" s="198">
        <f t="shared" ref="W41:W58" ca="1" si="7">IF( ISERROR(IF(INDIRECT(V41)="",1,0)),"",IF(INDIRECT(V41)="",1,0))</f>
        <v>1</v>
      </c>
      <c r="X41" s="199" t="str">
        <f t="shared" si="6"/>
        <v xml:space="preserve"> 
                 No Additional Prof., Scientific &amp; Technical users ?     Please record as '0' if true</v>
      </c>
      <c r="Y41" s="224" t="b">
        <f t="shared" ref="Y41:Y48" ca="1" si="8">IF(AND(OR(ISNUMBER(INDIRECT(V41))=FALSE,INDIRECT(V41)&lt;&gt;0),$U$39&lt;&gt;9,W41=1),TRUE,FALSE)</f>
        <v>0</v>
      </c>
      <c r="Z41" s="231" t="str">
        <f t="shared" ca="1" si="1"/>
        <v/>
      </c>
      <c r="AA41" s="228" t="s">
        <v>23</v>
      </c>
    </row>
    <row r="42" spans="1:29" s="11" customFormat="1" x14ac:dyDescent="0.3">
      <c r="A42" s="26">
        <v>1.3</v>
      </c>
      <c r="B42" s="8" t="s">
        <v>111</v>
      </c>
      <c r="C42" s="74"/>
      <c r="D42" s="310" t="str">
        <f t="shared" ref="D42:D46" si="9">IF(AND(LEN(concatenateRange($C$40:$C$48,""))&gt;0,C42=""),"...…Please enter '0' if none","")</f>
        <v/>
      </c>
      <c r="E42" s="21"/>
      <c r="F42" s="471"/>
      <c r="G42" s="472"/>
      <c r="H42" s="472"/>
      <c r="I42" s="472"/>
      <c r="J42" s="472"/>
      <c r="K42" s="472"/>
      <c r="L42" s="473"/>
      <c r="M42"/>
      <c r="O42" s="325"/>
      <c r="Q42" s="211"/>
      <c r="R42" s="211"/>
      <c r="S42" s="211"/>
      <c r="V42" s="198" t="s">
        <v>112</v>
      </c>
      <c r="W42" s="198">
        <f t="shared" ca="1" si="7"/>
        <v>1</v>
      </c>
      <c r="X42" s="199" t="str">
        <f t="shared" si="6"/>
        <v xml:space="preserve"> 
                 No Administrative &amp; Clerical users ?     Please record as '0' if true</v>
      </c>
      <c r="Y42" s="224" t="b">
        <f t="shared" ca="1" si="8"/>
        <v>0</v>
      </c>
      <c r="Z42" s="231" t="str">
        <f t="shared" ca="1" si="1"/>
        <v/>
      </c>
      <c r="AA42" s="228" t="s">
        <v>23</v>
      </c>
    </row>
    <row r="43" spans="1:29" s="11" customFormat="1" x14ac:dyDescent="0.3">
      <c r="A43" s="26">
        <v>1.4</v>
      </c>
      <c r="B43" s="8" t="s">
        <v>113</v>
      </c>
      <c r="C43" s="74"/>
      <c r="D43" s="310" t="str">
        <f t="shared" si="9"/>
        <v/>
      </c>
      <c r="E43" s="21"/>
      <c r="F43" s="471"/>
      <c r="G43" s="472"/>
      <c r="H43" s="472"/>
      <c r="I43" s="472"/>
      <c r="J43" s="472"/>
      <c r="K43" s="472"/>
      <c r="L43" s="473"/>
      <c r="M43"/>
      <c r="O43" s="325"/>
      <c r="V43" s="198" t="s">
        <v>114</v>
      </c>
      <c r="W43" s="198">
        <f t="shared" ca="1" si="7"/>
        <v>1</v>
      </c>
      <c r="X43" s="199" t="str">
        <f t="shared" si="6"/>
        <v xml:space="preserve"> 
                 No Allied Health Professionals users ?     Please record as '0' if true</v>
      </c>
      <c r="Y43" s="224" t="b">
        <f t="shared" ca="1" si="8"/>
        <v>0</v>
      </c>
      <c r="Z43" s="231" t="str">
        <f ca="1" xml:space="preserve"> IF(Y43,X43&amp;IF(AA43&lt;&gt;"",IF(V43&lt;&gt;"", "  ("&amp;V43&amp;")  - ",""),""),"")</f>
        <v/>
      </c>
      <c r="AA43" s="228" t="s">
        <v>23</v>
      </c>
    </row>
    <row r="44" spans="1:29" s="11" customFormat="1" x14ac:dyDescent="0.3">
      <c r="A44" s="26">
        <v>1.5</v>
      </c>
      <c r="B44" s="8" t="s">
        <v>115</v>
      </c>
      <c r="C44" s="74"/>
      <c r="D44" s="310" t="str">
        <f t="shared" si="9"/>
        <v/>
      </c>
      <c r="E44" s="21"/>
      <c r="F44" s="471"/>
      <c r="G44" s="472"/>
      <c r="H44" s="472"/>
      <c r="I44" s="472"/>
      <c r="J44" s="472"/>
      <c r="K44" s="472"/>
      <c r="L44" s="473"/>
      <c r="M44"/>
      <c r="O44" s="325"/>
      <c r="Q44" s="47"/>
      <c r="R44" s="47"/>
      <c r="S44" s="47"/>
      <c r="T44" s="47"/>
      <c r="U44" s="47"/>
      <c r="V44" s="198" t="s">
        <v>116</v>
      </c>
      <c r="W44" s="198">
        <f t="shared" ca="1" si="7"/>
        <v>1</v>
      </c>
      <c r="X44" s="199" t="str">
        <f t="shared" si="6"/>
        <v xml:space="preserve"> 
                 No Estates &amp; Ancillary users ?     Please record as '0' if true</v>
      </c>
      <c r="Y44" s="224" t="b">
        <f t="shared" ca="1" si="8"/>
        <v>0</v>
      </c>
      <c r="Z44" s="231" t="str">
        <f t="shared" ca="1" si="1"/>
        <v/>
      </c>
      <c r="AA44" s="228" t="s">
        <v>23</v>
      </c>
      <c r="AB44" s="47"/>
    </row>
    <row r="45" spans="1:29" s="11" customFormat="1" x14ac:dyDescent="0.3">
      <c r="A45" s="26">
        <v>1.6</v>
      </c>
      <c r="B45" s="8" t="s">
        <v>117</v>
      </c>
      <c r="C45" s="74"/>
      <c r="D45" s="310" t="str">
        <f t="shared" si="9"/>
        <v/>
      </c>
      <c r="E45" s="21"/>
      <c r="F45" s="471"/>
      <c r="G45" s="472"/>
      <c r="H45" s="472"/>
      <c r="I45" s="472"/>
      <c r="J45" s="472"/>
      <c r="K45" s="472"/>
      <c r="L45" s="473"/>
      <c r="M45"/>
      <c r="O45" s="325"/>
      <c r="V45" s="198" t="s">
        <v>118</v>
      </c>
      <c r="W45" s="198">
        <f t="shared" ca="1" si="7"/>
        <v>1</v>
      </c>
      <c r="X45" s="199" t="str">
        <f t="shared" si="6"/>
        <v xml:space="preserve"> 
                 No Healthcare Scientists users ?     Please record as '0' if true</v>
      </c>
      <c r="Y45" s="224" t="b">
        <f t="shared" ca="1" si="8"/>
        <v>0</v>
      </c>
      <c r="Z45" s="231" t="str">
        <f t="shared" ca="1" si="1"/>
        <v/>
      </c>
      <c r="AA45" s="228" t="s">
        <v>23</v>
      </c>
    </row>
    <row r="46" spans="1:29" s="11" customFormat="1" x14ac:dyDescent="0.3">
      <c r="A46" s="26">
        <v>1.7</v>
      </c>
      <c r="B46" s="8" t="s">
        <v>119</v>
      </c>
      <c r="C46" s="74"/>
      <c r="D46" s="310" t="str">
        <f t="shared" si="9"/>
        <v/>
      </c>
      <c r="E46" s="21"/>
      <c r="F46" s="471"/>
      <c r="G46" s="472"/>
      <c r="H46" s="472"/>
      <c r="I46" s="472"/>
      <c r="J46" s="472"/>
      <c r="K46" s="472"/>
      <c r="L46" s="473"/>
      <c r="M46"/>
      <c r="O46" s="325"/>
      <c r="U46" s="215"/>
      <c r="V46" s="198" t="s">
        <v>120</v>
      </c>
      <c r="W46" s="198">
        <f t="shared" ca="1" si="7"/>
        <v>1</v>
      </c>
      <c r="X46" s="199" t="str">
        <f t="shared" si="6"/>
        <v xml:space="preserve"> 
                 No Medical &amp; Dental users ?     Please record as '0' if true</v>
      </c>
      <c r="Y46" s="224" t="b">
        <f t="shared" ca="1" si="8"/>
        <v>0</v>
      </c>
      <c r="Z46" s="231" t="str">
        <f t="shared" ca="1" si="1"/>
        <v/>
      </c>
      <c r="AA46" s="228" t="s">
        <v>23</v>
      </c>
    </row>
    <row r="47" spans="1:29" s="11" customFormat="1" ht="13.5" thickBot="1" x14ac:dyDescent="0.35">
      <c r="A47" s="26">
        <v>1.8</v>
      </c>
      <c r="B47" s="8" t="s">
        <v>121</v>
      </c>
      <c r="C47" s="74"/>
      <c r="D47" s="344"/>
      <c r="E47" s="21"/>
      <c r="F47" s="471"/>
      <c r="G47" s="472"/>
      <c r="H47" s="472"/>
      <c r="I47" s="472"/>
      <c r="J47" s="472"/>
      <c r="K47" s="472"/>
      <c r="L47" s="473"/>
      <c r="M47"/>
      <c r="O47" s="325"/>
      <c r="R47" s="14"/>
      <c r="T47" s="14"/>
      <c r="U47" s="14"/>
      <c r="V47" s="198" t="s">
        <v>122</v>
      </c>
      <c r="W47" s="198">
        <f t="shared" ca="1" si="7"/>
        <v>1</v>
      </c>
      <c r="X47" s="199" t="str">
        <f t="shared" si="6"/>
        <v xml:space="preserve"> 
                 No Nursing &amp; Midwifery Registered users ?     Please record as '0' if true</v>
      </c>
      <c r="Y47" s="224" t="b">
        <f t="shared" ca="1" si="8"/>
        <v>0</v>
      </c>
      <c r="Z47" s="231" t="str">
        <f t="shared" ca="1" si="1"/>
        <v/>
      </c>
      <c r="AA47" s="229" t="s">
        <v>23</v>
      </c>
    </row>
    <row r="48" spans="1:29" s="11" customFormat="1" ht="13.5" thickBot="1" x14ac:dyDescent="0.35">
      <c r="A48" s="26">
        <v>1.9</v>
      </c>
      <c r="B48" s="8" t="s">
        <v>123</v>
      </c>
      <c r="C48" s="117"/>
      <c r="D48" s="341">
        <f>SUM(C40:C48)</f>
        <v>0</v>
      </c>
      <c r="E48" s="21"/>
      <c r="F48" s="471"/>
      <c r="G48" s="472"/>
      <c r="H48" s="472"/>
      <c r="I48" s="472"/>
      <c r="J48" s="472"/>
      <c r="K48" s="472"/>
      <c r="L48" s="473"/>
      <c r="M48"/>
      <c r="O48" s="325"/>
      <c r="R48" s="14"/>
      <c r="T48" s="14"/>
      <c r="U48" s="14"/>
      <c r="V48" s="198" t="s">
        <v>124</v>
      </c>
      <c r="W48" s="198">
        <f t="shared" ca="1" si="7"/>
        <v>1</v>
      </c>
      <c r="X48" s="199" t="str">
        <f>LineBreak&amp;Indent &amp;"No " &amp;B48 &amp;" users ? Please record as '0' if true"</f>
        <v xml:space="preserve"> 
                 No Students users ? Please record as '0' if true</v>
      </c>
      <c r="Y48" s="224" t="b">
        <f t="shared" ca="1" si="8"/>
        <v>0</v>
      </c>
      <c r="Z48" s="231" t="str">
        <f t="shared" ca="1" si="1"/>
        <v/>
      </c>
      <c r="AA48" s="229" t="s">
        <v>23</v>
      </c>
    </row>
    <row r="49" spans="1:29" s="11" customFormat="1" ht="25.5" customHeight="1" thickBot="1" x14ac:dyDescent="0.35">
      <c r="A49" s="26"/>
      <c r="B49" s="23" t="s">
        <v>125</v>
      </c>
      <c r="C49" s="331"/>
      <c r="D49" s="357" t="str">
        <f>IF(LEN(concatenateRange($C$50:$C$56,""))&gt;0,"","Please enter '0' if none")</f>
        <v>Please enter '0' if none</v>
      </c>
      <c r="E49" s="21"/>
      <c r="F49" s="450" t="s">
        <v>105</v>
      </c>
      <c r="G49" s="451"/>
      <c r="H49" s="451"/>
      <c r="I49" s="451"/>
      <c r="J49" s="451"/>
      <c r="K49" s="451"/>
      <c r="L49" s="452"/>
      <c r="M49"/>
      <c r="O49" s="325"/>
      <c r="R49" s="14"/>
      <c r="T49" s="14"/>
      <c r="U49" s="217">
        <f ca="1">SUM(W50:W56)</f>
        <v>7</v>
      </c>
      <c r="V49" s="198" t="s">
        <v>126</v>
      </c>
      <c r="W49" s="198">
        <f t="shared" ca="1" si="7"/>
        <v>1</v>
      </c>
      <c r="X49" s="201" t="str">
        <f ca="1">LineBreak&amp;Indent&amp;B49 &amp; IF(U49=7,":   No data entered"," - Just to check."&amp;LineBreak)</f>
        <v xml:space="preserve"> 
                 Other (Non ESR ):   No data entered</v>
      </c>
      <c r="Y49" s="224" t="b">
        <f ca="1">U37=Started</f>
        <v>0</v>
      </c>
      <c r="Z49" s="231" t="str">
        <f ca="1" xml:space="preserve"> IF(Y49,LineBreak&amp;X49&amp; IF(AA49&lt;&gt;"",IF(V49&lt;&gt;"", "  ("&amp;V49&amp;")  - ",""),""),"")</f>
        <v/>
      </c>
      <c r="AA49" s="229"/>
    </row>
    <row r="50" spans="1:29" s="11" customFormat="1" x14ac:dyDescent="0.3">
      <c r="A50" s="26" t="s">
        <v>127</v>
      </c>
      <c r="B50" s="387" t="s">
        <v>128</v>
      </c>
      <c r="C50" s="116"/>
      <c r="D50" s="310" t="str">
        <f>IF(AND(LEN(concatenateRange($C$50:$C$56,""))&gt;0,C50=""),"...…Please enter '0' if none","")</f>
        <v/>
      </c>
      <c r="E50" s="21"/>
      <c r="F50" s="468"/>
      <c r="G50" s="469"/>
      <c r="H50" s="469"/>
      <c r="I50" s="469"/>
      <c r="J50" s="469"/>
      <c r="K50" s="469"/>
      <c r="L50" s="470"/>
      <c r="M50"/>
      <c r="O50" s="325"/>
      <c r="R50" s="14"/>
      <c r="T50" s="14"/>
      <c r="U50" s="14"/>
      <c r="V50" s="198" t="s">
        <v>129</v>
      </c>
      <c r="W50" s="198">
        <f t="shared" ca="1" si="7"/>
        <v>1</v>
      </c>
      <c r="X50" s="199" t="str">
        <f t="shared" ref="X50:X56" si="10">LineBreak&amp;Indent&amp;"No " &amp;B50 &amp;" ?     Please record as '0' if true"</f>
        <v xml:space="preserve"> 
                 No External members (not NHS staff) ?     Please record as '0' if true</v>
      </c>
      <c r="Y50" s="224" t="b">
        <f ca="1">IF(AND(OR(ISNUMBER(INDIRECT(V50))=FALSE,INDIRECT(V50)&lt;&gt;0),$U$49&lt;&gt;7,W50=1),TRUE,FALSE)</f>
        <v>0</v>
      </c>
      <c r="Z50" s="231" t="str">
        <f t="shared" ca="1" si="1"/>
        <v/>
      </c>
      <c r="AA50" s="229" t="s">
        <v>23</v>
      </c>
    </row>
    <row r="51" spans="1:29" s="11" customFormat="1" x14ac:dyDescent="0.3">
      <c r="A51" s="26" t="s">
        <v>130</v>
      </c>
      <c r="B51" s="387" t="s">
        <v>131</v>
      </c>
      <c r="C51" s="74"/>
      <c r="D51" s="310" t="str">
        <f t="shared" ref="D51:D55" si="11">IF(AND(LEN(concatenateRange($C$50:$C$56,""))&gt;0,C51=""),"...…Please enter '0' if none","")</f>
        <v/>
      </c>
      <c r="E51" s="21"/>
      <c r="F51" s="471"/>
      <c r="G51" s="472"/>
      <c r="H51" s="472"/>
      <c r="I51" s="472"/>
      <c r="J51" s="472"/>
      <c r="K51" s="472"/>
      <c r="L51" s="473"/>
      <c r="M51"/>
      <c r="O51" s="325"/>
      <c r="R51" s="14"/>
      <c r="T51" s="14"/>
      <c r="U51" s="14"/>
      <c r="V51" s="198" t="s">
        <v>132</v>
      </c>
      <c r="W51" s="198">
        <f t="shared" ca="1" si="7"/>
        <v>1</v>
      </c>
      <c r="X51" s="199" t="str">
        <f t="shared" si="10"/>
        <v xml:space="preserve"> 
                 No HEI staff (e.g. lecturers) ?     Please record as '0' if true</v>
      </c>
      <c r="Y51" s="224" t="b">
        <f t="shared" ref="Y51:Y56" ca="1" si="12">IF(AND(OR(ISNUMBER(INDIRECT(V51))=FALSE,INDIRECT(V51)&lt;&gt;0),$U$49&lt;&gt;7,W51=1),TRUE,FALSE)</f>
        <v>0</v>
      </c>
      <c r="Z51" s="231" t="str">
        <f t="shared" ca="1" si="1"/>
        <v/>
      </c>
      <c r="AA51" s="229" t="s">
        <v>23</v>
      </c>
    </row>
    <row r="52" spans="1:29" s="11" customFormat="1" x14ac:dyDescent="0.3">
      <c r="A52" s="26" t="s">
        <v>133</v>
      </c>
      <c r="B52" s="387" t="s">
        <v>134</v>
      </c>
      <c r="C52" s="74"/>
      <c r="D52" s="310" t="str">
        <f t="shared" si="11"/>
        <v/>
      </c>
      <c r="E52" s="21"/>
      <c r="F52" s="471"/>
      <c r="G52" s="472"/>
      <c r="H52" s="472"/>
      <c r="I52" s="472"/>
      <c r="J52" s="472"/>
      <c r="K52" s="472"/>
      <c r="L52" s="473"/>
      <c r="M52"/>
      <c r="O52" s="325"/>
      <c r="R52" s="14"/>
      <c r="T52" s="14"/>
      <c r="U52" s="14"/>
      <c r="V52" s="198" t="s">
        <v>135</v>
      </c>
      <c r="W52" s="198">
        <f t="shared" ca="1" si="7"/>
        <v>1</v>
      </c>
      <c r="X52" s="199" t="str">
        <f t="shared" si="10"/>
        <v xml:space="preserve"> 
                 No Libraries ?     Please record as '0' if true</v>
      </c>
      <c r="Y52" s="224" t="b">
        <f t="shared" ca="1" si="12"/>
        <v>0</v>
      </c>
      <c r="Z52" s="231" t="str">
        <f t="shared" ca="1" si="1"/>
        <v/>
      </c>
      <c r="AA52" s="229" t="s">
        <v>23</v>
      </c>
    </row>
    <row r="53" spans="1:29" s="11" customFormat="1" x14ac:dyDescent="0.3">
      <c r="A53" s="26" t="s">
        <v>136</v>
      </c>
      <c r="B53" s="387" t="s">
        <v>137</v>
      </c>
      <c r="C53" s="74"/>
      <c r="D53" s="310" t="str">
        <f t="shared" si="11"/>
        <v/>
      </c>
      <c r="E53" s="21"/>
      <c r="F53" s="471"/>
      <c r="G53" s="472"/>
      <c r="H53" s="472"/>
      <c r="I53" s="472"/>
      <c r="J53" s="472"/>
      <c r="K53" s="472"/>
      <c r="L53" s="473"/>
      <c r="M53"/>
      <c r="O53" s="325"/>
      <c r="V53" s="198" t="s">
        <v>138</v>
      </c>
      <c r="W53" s="198">
        <f t="shared" ca="1" si="7"/>
        <v>1</v>
      </c>
      <c r="X53" s="199" t="str">
        <f t="shared" si="10"/>
        <v xml:space="preserve"> 
                 No Local authority (including Public Health staff: clinical and non-clinical) ?     Please record as '0' if true</v>
      </c>
      <c r="Y53" s="224" t="b">
        <f t="shared" ca="1" si="12"/>
        <v>0</v>
      </c>
      <c r="Z53" s="231" t="str">
        <f t="shared" ca="1" si="1"/>
        <v/>
      </c>
      <c r="AA53" s="228" t="s">
        <v>23</v>
      </c>
    </row>
    <row r="54" spans="1:29" s="11" customFormat="1" x14ac:dyDescent="0.3">
      <c r="A54" s="26" t="s">
        <v>139</v>
      </c>
      <c r="B54" s="387" t="s">
        <v>140</v>
      </c>
      <c r="C54" s="74"/>
      <c r="D54" s="310" t="str">
        <f t="shared" si="11"/>
        <v/>
      </c>
      <c r="E54" s="21"/>
      <c r="F54" s="471"/>
      <c r="G54" s="472"/>
      <c r="H54" s="472"/>
      <c r="I54" s="472"/>
      <c r="J54" s="472"/>
      <c r="K54" s="472"/>
      <c r="L54" s="473"/>
      <c r="M54"/>
      <c r="O54" s="325"/>
      <c r="U54" s="215"/>
      <c r="V54" s="198" t="s">
        <v>141</v>
      </c>
      <c r="W54" s="198">
        <f t="shared" ca="1" si="7"/>
        <v>1</v>
      </c>
      <c r="X54" s="199" t="str">
        <f t="shared" si="10"/>
        <v xml:space="preserve"> 
                 No Patients/service users/clients, carers and the public ?     Please record as '0' if true</v>
      </c>
      <c r="Y54" s="224" t="b">
        <f t="shared" ca="1" si="12"/>
        <v>0</v>
      </c>
      <c r="Z54" s="231" t="str">
        <f ca="1" xml:space="preserve"> IF(Y54,X54&amp;IF(AA54&lt;&gt;"",IF(V54&lt;&gt;"", "  ("&amp;V54&amp;")  - ",""),""),"")</f>
        <v/>
      </c>
      <c r="AA54" s="228" t="s">
        <v>23</v>
      </c>
    </row>
    <row r="55" spans="1:29" s="11" customFormat="1" ht="13.5" thickBot="1" x14ac:dyDescent="0.35">
      <c r="A55" s="26" t="s">
        <v>142</v>
      </c>
      <c r="B55" s="387" t="s">
        <v>143</v>
      </c>
      <c r="C55" s="74"/>
      <c r="D55" s="310" t="str">
        <f t="shared" si="11"/>
        <v/>
      </c>
      <c r="E55" s="21"/>
      <c r="F55" s="471"/>
      <c r="G55" s="472"/>
      <c r="H55" s="472"/>
      <c r="I55" s="472"/>
      <c r="J55" s="472"/>
      <c r="K55" s="472"/>
      <c r="L55" s="473"/>
      <c r="M55"/>
      <c r="O55" s="325"/>
      <c r="R55" s="14"/>
      <c r="T55" s="14"/>
      <c r="U55" s="14"/>
      <c r="V55" s="198" t="s">
        <v>144</v>
      </c>
      <c r="W55" s="198">
        <f t="shared" ca="1" si="7"/>
        <v>1</v>
      </c>
      <c r="X55" s="199" t="str">
        <f t="shared" si="10"/>
        <v xml:space="preserve"> 
                 No Volunteers (including Trust governors) ?     Please record as '0' if true</v>
      </c>
      <c r="Y55" s="224" t="b">
        <f t="shared" ca="1" si="12"/>
        <v>0</v>
      </c>
      <c r="Z55" s="231" t="str">
        <f t="shared" ca="1" si="1"/>
        <v/>
      </c>
      <c r="AA55" s="228" t="s">
        <v>23</v>
      </c>
    </row>
    <row r="56" spans="1:29" s="11" customFormat="1" ht="13.5" thickBot="1" x14ac:dyDescent="0.35">
      <c r="A56" s="27" t="s">
        <v>145</v>
      </c>
      <c r="B56" s="8" t="s">
        <v>146</v>
      </c>
      <c r="C56" s="74"/>
      <c r="D56" s="342">
        <f>SUM(C50:C56)</f>
        <v>0</v>
      </c>
      <c r="E56" s="21"/>
      <c r="F56" s="465"/>
      <c r="G56" s="466"/>
      <c r="H56" s="466"/>
      <c r="I56" s="466"/>
      <c r="J56" s="466"/>
      <c r="K56" s="466"/>
      <c r="L56" s="467"/>
      <c r="M56"/>
      <c r="O56" s="325"/>
      <c r="R56" s="14"/>
      <c r="T56" s="14"/>
      <c r="U56" s="14"/>
      <c r="V56" s="198" t="s">
        <v>147</v>
      </c>
      <c r="W56" s="198">
        <f t="shared" ca="1" si="7"/>
        <v>1</v>
      </c>
      <c r="X56" s="199" t="str">
        <f t="shared" si="10"/>
        <v xml:space="preserve"> 
                 No Other (not included in 1.1 to 1.9 or 1.10a - 1.10g ?     Please record as '0' if true</v>
      </c>
      <c r="Y56" s="224" t="b">
        <f t="shared" ca="1" si="12"/>
        <v>0</v>
      </c>
      <c r="Z56" s="231" t="str">
        <f t="shared" ca="1" si="1"/>
        <v/>
      </c>
      <c r="AA56" s="228" t="s">
        <v>23</v>
      </c>
    </row>
    <row r="57" spans="1:29" s="11" customFormat="1" ht="13.5" thickBot="1" x14ac:dyDescent="0.35">
      <c r="A57" s="27">
        <v>1.1100000000000001</v>
      </c>
      <c r="B57" s="28" t="s">
        <v>148</v>
      </c>
      <c r="C57" s="343"/>
      <c r="D57" s="343">
        <f>IF(AND(C57=0,OR(D48&lt;&gt;0,D56&lt;&gt;0)),D48+D56,
IF(AND(C57&lt;&gt;0,D48=0,D56=0),C57,
D48+D56))</f>
        <v>0</v>
      </c>
      <c r="E57" s="21"/>
      <c r="O57" s="325"/>
      <c r="R57" s="14"/>
      <c r="T57" s="14"/>
      <c r="U57" s="14"/>
      <c r="V57" s="198" t="s">
        <v>149</v>
      </c>
      <c r="W57" s="198">
        <f t="shared" ca="1" si="7"/>
        <v>0</v>
      </c>
      <c r="X57" s="199" t="str">
        <f>Indent&amp;"Total Users"</f>
        <v xml:space="preserve">                 Total Users</v>
      </c>
      <c r="Y57" s="224" t="b">
        <f t="shared" ref="Y57" ca="1" si="13">IF(AND(INDIRECT(V57)&lt;&gt;0,$U$39&lt;&gt;9,W57=1),TRUE,FALSE)</f>
        <v>0</v>
      </c>
      <c r="Z57" s="231" t="str">
        <f t="shared" ca="1" si="1"/>
        <v/>
      </c>
      <c r="AA57" s="228" t="s">
        <v>23</v>
      </c>
    </row>
    <row r="58" spans="1:29" s="103" customFormat="1" ht="14.5" x14ac:dyDescent="0.3">
      <c r="A58" s="101"/>
      <c r="B58" s="101"/>
      <c r="C58" s="345" t="s">
        <v>150</v>
      </c>
      <c r="D58" s="345" t="s">
        <v>151</v>
      </c>
      <c r="E58" s="102"/>
      <c r="F58" s="11"/>
      <c r="G58" s="11"/>
      <c r="H58" s="11"/>
      <c r="I58" s="11"/>
      <c r="J58" s="11"/>
      <c r="K58" s="11"/>
      <c r="L58" s="11"/>
      <c r="M58" s="11"/>
      <c r="O58" s="327"/>
      <c r="P58" s="1" t="s">
        <v>152</v>
      </c>
      <c r="R58" s="14"/>
      <c r="S58" s="1" t="s">
        <v>153</v>
      </c>
      <c r="T58" s="14"/>
      <c r="U58" s="301" t="s">
        <v>17</v>
      </c>
      <c r="V58" s="198" t="s">
        <v>154</v>
      </c>
      <c r="W58" s="198">
        <f t="shared" ca="1" si="7"/>
        <v>0</v>
      </c>
      <c r="X58" s="199"/>
      <c r="Y58" s="224"/>
      <c r="Z58" s="231" t="str">
        <f t="shared" si="1"/>
        <v/>
      </c>
      <c r="AA58" s="228" t="s">
        <v>23</v>
      </c>
      <c r="AB58" s="11"/>
      <c r="AC58" s="11"/>
    </row>
    <row r="59" spans="1:29" s="11" customFormat="1" ht="20.25" customHeight="1" thickBot="1" x14ac:dyDescent="0.35">
      <c r="A59" s="22" t="s">
        <v>155</v>
      </c>
      <c r="B59" s="30" t="s">
        <v>156</v>
      </c>
      <c r="I59" s="33"/>
      <c r="O59" s="325"/>
      <c r="P59" s="11" t="s">
        <v>157</v>
      </c>
      <c r="Q59" s="11" t="s">
        <v>158</v>
      </c>
      <c r="R59" s="14"/>
      <c r="S59" s="11" t="s">
        <v>157</v>
      </c>
      <c r="T59" s="11" t="s">
        <v>158</v>
      </c>
      <c r="U59" s="224" t="str">
        <f ca="1">IF(SUM(Q61:Q71)+SUM(T61:T71)=22,NotStarted,
IF(SUM(Q61:Q71)+SUM(T61:T71)=0,Finished,Started))</f>
        <v xml:space="preserve">       &lt; Not Started &gt;</v>
      </c>
      <c r="V59" s="198" t="s">
        <v>159</v>
      </c>
      <c r="W59" s="198">
        <f t="shared" ca="1" si="2"/>
        <v>1</v>
      </c>
      <c r="X59" s="199" t="str">
        <f ca="1">LineBreak&amp;LineBreak&amp;A59&amp;"  "&amp;LEFT(B59,60)&amp;U59</f>
        <v xml:space="preserve"> 
2   EXPENDITURE (£) - Actual expenditure not budget       &lt; Not Started &gt;</v>
      </c>
      <c r="Y59" s="224" t="b">
        <v>1</v>
      </c>
      <c r="Z59" s="231" t="str">
        <f ca="1" xml:space="preserve"> IF(Y59,X59&amp;IF(AA59&lt;&gt;"",IF(V59&lt;&gt;"", "  ("&amp;V59&amp;")  - ",""),""),"")&amp;LineBreak</f>
        <v xml:space="preserve"> 
2   EXPENDITURE (£) - Actual expenditure not budget       &lt; Not Started &gt; 
</v>
      </c>
      <c r="AA59" s="228"/>
      <c r="AC59" s="103"/>
    </row>
    <row r="60" spans="1:29" s="11" customFormat="1" ht="55.5" customHeight="1" thickBot="1" x14ac:dyDescent="0.35">
      <c r="A60" s="492" t="s">
        <v>160</v>
      </c>
      <c r="B60" s="510"/>
      <c r="C60" s="120" t="s">
        <v>161</v>
      </c>
      <c r="D60" s="120" t="s">
        <v>162</v>
      </c>
      <c r="E60" s="358" t="s">
        <v>163</v>
      </c>
      <c r="F60" s="450" t="s">
        <v>105</v>
      </c>
      <c r="G60" s="451"/>
      <c r="H60" s="451"/>
      <c r="I60" s="451"/>
      <c r="J60" s="451"/>
      <c r="K60" s="451"/>
      <c r="L60" s="452"/>
      <c r="M60"/>
      <c r="O60" s="325"/>
      <c r="P60" s="322" t="b">
        <f ca="1">SUM(Q61:Q71,Q73:Q74)=13</f>
        <v>1</v>
      </c>
      <c r="Q60" s="218" t="str">
        <f ca="1">IF(P60,"Please check as no ' Recurrent Expenditure' recorded",11-SUM(Q61:Q71,Q73:Q74)&amp;" recurrent item(s)  "&amp;
IF(COUNTA(C61:C71,C73:C74)=13,"", "   "&amp;COUNTIF(C61:C71,"")+COUNTIF(C73:C74,"")&amp;" un-reported values. (see below)"))</f>
        <v>Please check as no ' Recurrent Expenditure' recorded</v>
      </c>
      <c r="R60" s="14"/>
      <c r="S60" s="200" t="b">
        <f ca="1">SUM(T61:T71,T73:T74)=13</f>
        <v>1</v>
      </c>
      <c r="T60" s="218" t="str">
        <f ca="1">IF(S60,"No  'Non-Recurrent' expenditure?",11-SUM(T61:T71,T73:T74)&amp;" non - recurrent item(s) "&amp;
IF(COUNTA(D61:D71,D73:D74)=13,"", "   "&amp;COUNTIF(D61:D71,"")+COUNTIF(D73:D74,"")&amp;" unreported values. (see below)"))</f>
        <v>No  'Non-Recurrent' expenditure?</v>
      </c>
      <c r="U60" s="14"/>
      <c r="V60" s="200" t="b">
        <f ca="1">SUM(W61:W71)=11</f>
        <v>1</v>
      </c>
      <c r="W60" s="218" t="str">
        <f ca="1">IF(V60,"No comments present either",11-SUM(W61:W71)&amp;" comment(s) ")</f>
        <v>No comments present either</v>
      </c>
      <c r="X60" s="219" t="str">
        <f ca="1">IF(AND(P60,S60,V60),"Expenditure Details required",
"                                               SUMMARY"&amp;
LineBreak&amp;LineBreak&amp;"                "&amp;Q60&amp;"      Total :  £"&amp;C75&amp;
LineBreak&amp;LineBreak&amp;"                "&amp;T60&amp;"      Total :  £"&amp;D75&amp;
LineBreak&amp;LineBreak&amp;"                "&amp;W60)</f>
        <v>Expenditure Details required</v>
      </c>
      <c r="Y60" s="224" t="b">
        <f ca="1">U59&lt;&gt;NotStarted</f>
        <v>0</v>
      </c>
      <c r="Z60" s="232" t="str">
        <f ca="1" xml:space="preserve"> IF(Y60,Indent&amp;X60&amp;IF(AA60&lt;&gt;"",IF(V60&lt;&gt;"", "  ("&amp;V60&amp;")  - ",""),""),"")&amp;LineBreak</f>
        <v xml:space="preserve"> 
</v>
      </c>
      <c r="AA60" s="228"/>
    </row>
    <row r="61" spans="1:29" s="11" customFormat="1" x14ac:dyDescent="0.3">
      <c r="A61" s="10">
        <v>2.1</v>
      </c>
      <c r="B61" s="11" t="s">
        <v>164</v>
      </c>
      <c r="C61" s="75"/>
      <c r="D61" s="82"/>
      <c r="E61" s="330" t="str">
        <f>IF(AND(COUNTA($C$61:$D$71)&gt;0,OR(C61="",D61="")),
IF(C61="",1,0)+IF(D61="",1,0)&amp;" blank...",
IF(AND(OR(C61&gt;0,D61&gt;0),F61=""),"Add comment?",""))</f>
        <v/>
      </c>
      <c r="F61" s="468"/>
      <c r="G61" s="469"/>
      <c r="H61" s="469"/>
      <c r="I61" s="469"/>
      <c r="J61" s="469"/>
      <c r="K61" s="469"/>
      <c r="L61" s="470"/>
      <c r="M61"/>
      <c r="O61" s="325" t="str">
        <f ca="1">U59</f>
        <v xml:space="preserve">       &lt; Not Started &gt;</v>
      </c>
      <c r="P61" s="242" t="s">
        <v>165</v>
      </c>
      <c r="Q61" s="303">
        <f t="shared" ref="Q61:Q71" ca="1" si="14">IF(INDIRECT(P61)="",1,0)</f>
        <v>1</v>
      </c>
      <c r="R61" s="221" t="str">
        <f ca="1">IF(AND($P$60=FALSE,INDIRECT(P61)=""),LEFT(OFFSET(INDIRECT(P61),0,-1),15)&amp;"…   " &amp;"Recurr. spend: Enter value or £0:00 ","")</f>
        <v/>
      </c>
      <c r="S61" s="198" t="s">
        <v>166</v>
      </c>
      <c r="T61" s="303">
        <f t="shared" ref="T61:T71" ca="1" si="15">IF(INDIRECT(S61)="",1,0)</f>
        <v>1</v>
      </c>
      <c r="U61" s="220" t="str">
        <f ca="1">IF(AND($S$60=FALSE,INDIRECT(S61)=""),
IF(LEN(     R61)&gt;0,"",LEFT(OFFSET(INDIRECT(S61),0,-2),15)&amp;"…   ")&amp;"Non-Recurrent spending: Enter a value or £0:00 ","")</f>
        <v/>
      </c>
      <c r="V61" s="198" t="s">
        <v>167</v>
      </c>
      <c r="W61" s="198">
        <f t="shared" ca="1" si="2"/>
        <v>1</v>
      </c>
      <c r="X61" s="199" t="str">
        <f t="shared" ref="X61:X71" ca="1" si="16">LineBreak&amp;A61&amp;"    "&amp;R61&amp;"  "&amp;U61</f>
        <v xml:space="preserve"> 
2.1      </v>
      </c>
      <c r="Y61" s="224" t="b">
        <f ca="1">OR(LEN(R61)&gt;1,LEN(U61)&gt;1)</f>
        <v>0</v>
      </c>
      <c r="Z61" s="231" t="str">
        <f ca="1" xml:space="preserve"> IF(Y61,X61&amp;IF(AA61&lt;&gt;"","See "&amp;P61&amp;" or "&amp;S61,""),"")</f>
        <v/>
      </c>
      <c r="AA61" s="228" t="s">
        <v>23</v>
      </c>
    </row>
    <row r="62" spans="1:29" s="11" customFormat="1" x14ac:dyDescent="0.3">
      <c r="A62" s="10">
        <v>2.2000000000000002</v>
      </c>
      <c r="B62" s="11" t="s">
        <v>168</v>
      </c>
      <c r="C62" s="76"/>
      <c r="D62" s="83"/>
      <c r="E62" s="330" t="str">
        <f t="shared" ref="E62:E71" si="17">IF(AND(COUNTA($C$61:$D$71)&gt;0,OR(C62="",D62="")),
IF(C62="",1,0)+IF(D62="",1,0)&amp;" blank...",
IF(AND(OR(C62&gt;0,D62&gt;0),F62=""),"Add comment?",""))</f>
        <v/>
      </c>
      <c r="F62" s="471"/>
      <c r="G62" s="472"/>
      <c r="H62" s="472"/>
      <c r="I62" s="472"/>
      <c r="J62" s="472"/>
      <c r="K62" s="472"/>
      <c r="L62" s="473"/>
      <c r="M62"/>
      <c r="O62" s="325"/>
      <c r="P62" s="242" t="s">
        <v>169</v>
      </c>
      <c r="Q62" s="303">
        <f t="shared" ca="1" si="14"/>
        <v>1</v>
      </c>
      <c r="R62" s="221" t="str">
        <f t="shared" ref="R62:R71" ca="1" si="18">IF(AND($P$60=FALSE,INDIRECT(P62)=""),LEFT(OFFSET(INDIRECT(P62),0,-1),15)&amp;"…   " &amp;"Recurr. spend: Enter value or £0:00 ","")</f>
        <v/>
      </c>
      <c r="S62" s="198" t="s">
        <v>170</v>
      </c>
      <c r="T62" s="303">
        <f t="shared" ca="1" si="15"/>
        <v>1</v>
      </c>
      <c r="U62" s="220" t="str">
        <f t="shared" ref="U62:U70" ca="1" si="19">IF(AND($S$60=FALSE,INDIRECT(S62)=""),
IF(LEN(     R62)&gt;0,"",LEFT(OFFSET(INDIRECT(S62),0,-2),15)&amp;"…   ")&amp;"Non-Recurrent spending: Enter a value or £0:00 ","")</f>
        <v/>
      </c>
      <c r="V62" s="198" t="s">
        <v>171</v>
      </c>
      <c r="W62" s="198">
        <f t="shared" ca="1" si="2"/>
        <v>1</v>
      </c>
      <c r="X62" s="199" t="str">
        <f t="shared" ca="1" si="16"/>
        <v xml:space="preserve"> 
2.2      </v>
      </c>
      <c r="Y62" s="224" t="b">
        <f t="shared" ref="Y62:Y71" ca="1" si="20">OR(LEN(R62)&gt;1,LEN(U62)&gt;1)</f>
        <v>0</v>
      </c>
      <c r="Z62" s="231" t="str">
        <f t="shared" ref="Z62:Z71" ca="1" si="21" xml:space="preserve"> IF(Y62,X62&amp;IF(AA62&lt;&gt;"","See "&amp;P62&amp;" or "&amp;S62,""),"")</f>
        <v/>
      </c>
      <c r="AA62" s="228" t="s">
        <v>23</v>
      </c>
    </row>
    <row r="63" spans="1:29" s="11" customFormat="1" x14ac:dyDescent="0.3">
      <c r="A63" s="10" t="s">
        <v>172</v>
      </c>
      <c r="B63" s="11" t="s">
        <v>173</v>
      </c>
      <c r="C63" s="76"/>
      <c r="D63" s="83"/>
      <c r="E63" s="330" t="str">
        <f t="shared" si="17"/>
        <v/>
      </c>
      <c r="F63" s="471"/>
      <c r="G63" s="472"/>
      <c r="H63" s="472"/>
      <c r="I63" s="472"/>
      <c r="J63" s="472"/>
      <c r="K63" s="472"/>
      <c r="L63" s="473"/>
      <c r="M63"/>
      <c r="O63" s="325"/>
      <c r="P63" s="242" t="s">
        <v>174</v>
      </c>
      <c r="Q63" s="303">
        <f t="shared" ca="1" si="14"/>
        <v>1</v>
      </c>
      <c r="R63" s="221" t="str">
        <f t="shared" ca="1" si="18"/>
        <v/>
      </c>
      <c r="S63" s="198" t="s">
        <v>175</v>
      </c>
      <c r="T63" s="303">
        <f t="shared" ca="1" si="15"/>
        <v>1</v>
      </c>
      <c r="U63" s="220" t="str">
        <f t="shared" ca="1" si="19"/>
        <v/>
      </c>
      <c r="V63" s="198" t="s">
        <v>176</v>
      </c>
      <c r="W63" s="198">
        <f t="shared" ca="1" si="2"/>
        <v>1</v>
      </c>
      <c r="X63" s="199" t="str">
        <f t="shared" ca="1" si="16"/>
        <v xml:space="preserve"> 
2.3a       </v>
      </c>
      <c r="Y63" s="224" t="b">
        <f t="shared" ca="1" si="20"/>
        <v>0</v>
      </c>
      <c r="Z63" s="231" t="str">
        <f t="shared" ca="1" si="21"/>
        <v/>
      </c>
      <c r="AA63" s="228" t="s">
        <v>23</v>
      </c>
    </row>
    <row r="64" spans="1:29" s="11" customFormat="1" x14ac:dyDescent="0.3">
      <c r="A64" s="10" t="s">
        <v>177</v>
      </c>
      <c r="B64" s="10" t="s">
        <v>178</v>
      </c>
      <c r="C64" s="76"/>
      <c r="D64" s="83"/>
      <c r="E64" s="330" t="str">
        <f t="shared" si="17"/>
        <v/>
      </c>
      <c r="F64" s="471"/>
      <c r="G64" s="472"/>
      <c r="H64" s="472"/>
      <c r="I64" s="472"/>
      <c r="J64" s="472"/>
      <c r="K64" s="472"/>
      <c r="L64" s="473"/>
      <c r="M64"/>
      <c r="O64" s="325"/>
      <c r="P64" s="242" t="s">
        <v>179</v>
      </c>
      <c r="Q64" s="303">
        <f t="shared" ca="1" si="14"/>
        <v>1</v>
      </c>
      <c r="R64" s="221" t="str">
        <f t="shared" ca="1" si="18"/>
        <v/>
      </c>
      <c r="S64" s="198" t="s">
        <v>180</v>
      </c>
      <c r="T64" s="303">
        <f t="shared" ca="1" si="15"/>
        <v>1</v>
      </c>
      <c r="U64" s="220" t="str">
        <f t="shared" ca="1" si="19"/>
        <v/>
      </c>
      <c r="V64" s="198" t="s">
        <v>181</v>
      </c>
      <c r="W64" s="198">
        <f t="shared" ca="1" si="2"/>
        <v>1</v>
      </c>
      <c r="X64" s="199" t="str">
        <f t="shared" ca="1" si="16"/>
        <v xml:space="preserve"> 
2.3b       </v>
      </c>
      <c r="Y64" s="224" t="b">
        <f t="shared" ca="1" si="20"/>
        <v>0</v>
      </c>
      <c r="Z64" s="231" t="str">
        <f t="shared" ca="1" si="21"/>
        <v/>
      </c>
      <c r="AA64" s="228" t="s">
        <v>23</v>
      </c>
      <c r="AB64" s="2"/>
    </row>
    <row r="65" spans="1:28" s="11" customFormat="1" x14ac:dyDescent="0.3">
      <c r="A65" s="10">
        <v>2.4</v>
      </c>
      <c r="B65" s="11" t="s">
        <v>182</v>
      </c>
      <c r="C65" s="76"/>
      <c r="D65" s="83"/>
      <c r="E65" s="330" t="str">
        <f t="shared" si="17"/>
        <v/>
      </c>
      <c r="F65" s="471"/>
      <c r="G65" s="472"/>
      <c r="H65" s="472"/>
      <c r="I65" s="472"/>
      <c r="J65" s="472"/>
      <c r="K65" s="472"/>
      <c r="L65" s="473"/>
      <c r="M65"/>
      <c r="O65" s="325"/>
      <c r="P65" s="242" t="s">
        <v>183</v>
      </c>
      <c r="Q65" s="303">
        <f t="shared" ca="1" si="14"/>
        <v>1</v>
      </c>
      <c r="R65" s="221" t="str">
        <f t="shared" ca="1" si="18"/>
        <v/>
      </c>
      <c r="S65" s="198" t="s">
        <v>184</v>
      </c>
      <c r="T65" s="303">
        <f t="shared" ca="1" si="15"/>
        <v>1</v>
      </c>
      <c r="U65" s="220" t="str">
        <f t="shared" ca="1" si="19"/>
        <v/>
      </c>
      <c r="V65" s="198" t="s">
        <v>185</v>
      </c>
      <c r="W65" s="198">
        <f t="shared" ca="1" si="2"/>
        <v>1</v>
      </c>
      <c r="X65" s="199" t="str">
        <f t="shared" ca="1" si="16"/>
        <v xml:space="preserve"> 
2.4      </v>
      </c>
      <c r="Y65" s="224" t="b">
        <f t="shared" ca="1" si="20"/>
        <v>0</v>
      </c>
      <c r="Z65" s="231" t="str">
        <f t="shared" ca="1" si="21"/>
        <v/>
      </c>
      <c r="AA65" s="228" t="s">
        <v>23</v>
      </c>
    </row>
    <row r="66" spans="1:28" s="11" customFormat="1" x14ac:dyDescent="0.3">
      <c r="A66" s="10">
        <v>2.5</v>
      </c>
      <c r="B66" s="11" t="s">
        <v>186</v>
      </c>
      <c r="C66" s="76"/>
      <c r="D66" s="83"/>
      <c r="E66" s="330" t="str">
        <f t="shared" si="17"/>
        <v/>
      </c>
      <c r="F66" s="471"/>
      <c r="G66" s="472"/>
      <c r="H66" s="472"/>
      <c r="I66" s="472"/>
      <c r="J66" s="472"/>
      <c r="K66" s="472"/>
      <c r="L66" s="473"/>
      <c r="M66"/>
      <c r="O66" s="325"/>
      <c r="P66" s="242" t="s">
        <v>187</v>
      </c>
      <c r="Q66" s="303">
        <f t="shared" ca="1" si="14"/>
        <v>1</v>
      </c>
      <c r="R66" s="221" t="str">
        <f t="shared" ca="1" si="18"/>
        <v/>
      </c>
      <c r="S66" s="198" t="s">
        <v>188</v>
      </c>
      <c r="T66" s="303">
        <f t="shared" ca="1" si="15"/>
        <v>1</v>
      </c>
      <c r="U66" s="220" t="str">
        <f t="shared" ca="1" si="19"/>
        <v/>
      </c>
      <c r="V66" s="198" t="s">
        <v>189</v>
      </c>
      <c r="W66" s="198">
        <f t="shared" ca="1" si="2"/>
        <v>1</v>
      </c>
      <c r="X66" s="199" t="str">
        <f t="shared" ca="1" si="16"/>
        <v xml:space="preserve"> 
2.5      </v>
      </c>
      <c r="Y66" s="224" t="b">
        <f t="shared" ca="1" si="20"/>
        <v>0</v>
      </c>
      <c r="Z66" s="231" t="str">
        <f t="shared" ca="1" si="21"/>
        <v/>
      </c>
      <c r="AA66" s="228" t="s">
        <v>23</v>
      </c>
    </row>
    <row r="67" spans="1:28" s="11" customFormat="1" x14ac:dyDescent="0.3">
      <c r="A67" s="10">
        <v>2.6</v>
      </c>
      <c r="B67" s="11" t="s">
        <v>190</v>
      </c>
      <c r="C67" s="76"/>
      <c r="D67" s="83"/>
      <c r="E67" s="330" t="str">
        <f t="shared" si="17"/>
        <v/>
      </c>
      <c r="F67" s="471"/>
      <c r="G67" s="472"/>
      <c r="H67" s="472"/>
      <c r="I67" s="472"/>
      <c r="J67" s="472"/>
      <c r="K67" s="472"/>
      <c r="L67" s="473"/>
      <c r="M67"/>
      <c r="O67" s="325"/>
      <c r="P67" s="242" t="s">
        <v>191</v>
      </c>
      <c r="Q67" s="303">
        <f t="shared" ca="1" si="14"/>
        <v>1</v>
      </c>
      <c r="R67" s="221" t="str">
        <f t="shared" ca="1" si="18"/>
        <v/>
      </c>
      <c r="S67" s="198" t="s">
        <v>192</v>
      </c>
      <c r="T67" s="303">
        <f t="shared" ca="1" si="15"/>
        <v>1</v>
      </c>
      <c r="U67" s="220" t="str">
        <f t="shared" ca="1" si="19"/>
        <v/>
      </c>
      <c r="V67" s="198" t="s">
        <v>193</v>
      </c>
      <c r="W67" s="198">
        <f t="shared" ca="1" si="2"/>
        <v>1</v>
      </c>
      <c r="X67" s="199" t="str">
        <f t="shared" ca="1" si="16"/>
        <v xml:space="preserve"> 
2.6      </v>
      </c>
      <c r="Y67" s="224" t="b">
        <f t="shared" ca="1" si="20"/>
        <v>0</v>
      </c>
      <c r="Z67" s="231" t="str">
        <f t="shared" ca="1" si="21"/>
        <v/>
      </c>
      <c r="AA67" s="228" t="s">
        <v>23</v>
      </c>
    </row>
    <row r="68" spans="1:28" s="11" customFormat="1" x14ac:dyDescent="0.3">
      <c r="A68" s="10">
        <v>2.7</v>
      </c>
      <c r="B68" s="11" t="s">
        <v>194</v>
      </c>
      <c r="C68" s="76"/>
      <c r="D68" s="83"/>
      <c r="E68" s="330" t="str">
        <f t="shared" si="17"/>
        <v/>
      </c>
      <c r="F68" s="471"/>
      <c r="G68" s="472"/>
      <c r="H68" s="472"/>
      <c r="I68" s="472"/>
      <c r="J68" s="472"/>
      <c r="K68" s="472"/>
      <c r="L68" s="473"/>
      <c r="M68"/>
      <c r="O68" s="325"/>
      <c r="P68" s="242" t="s">
        <v>195</v>
      </c>
      <c r="Q68" s="303">
        <f t="shared" ca="1" si="14"/>
        <v>1</v>
      </c>
      <c r="R68" s="221" t="str">
        <f t="shared" ca="1" si="18"/>
        <v/>
      </c>
      <c r="S68" s="198" t="s">
        <v>196</v>
      </c>
      <c r="T68" s="303">
        <f t="shared" ca="1" si="15"/>
        <v>1</v>
      </c>
      <c r="U68" s="220" t="str">
        <f t="shared" ca="1" si="19"/>
        <v/>
      </c>
      <c r="V68" s="198" t="s">
        <v>197</v>
      </c>
      <c r="W68" s="198">
        <f t="shared" ca="1" si="2"/>
        <v>1</v>
      </c>
      <c r="X68" s="199" t="str">
        <f t="shared" ca="1" si="16"/>
        <v xml:space="preserve"> 
2.7      </v>
      </c>
      <c r="Y68" s="224" t="b">
        <f t="shared" ca="1" si="20"/>
        <v>0</v>
      </c>
      <c r="Z68" s="231" t="str">
        <f t="shared" ca="1" si="21"/>
        <v/>
      </c>
      <c r="AA68" s="228" t="s">
        <v>23</v>
      </c>
    </row>
    <row r="69" spans="1:28" s="11" customFormat="1" x14ac:dyDescent="0.3">
      <c r="A69" s="10">
        <v>2.8</v>
      </c>
      <c r="B69" s="104" t="s">
        <v>198</v>
      </c>
      <c r="C69" s="76"/>
      <c r="D69" s="83"/>
      <c r="E69" s="330" t="str">
        <f t="shared" si="17"/>
        <v/>
      </c>
      <c r="F69" s="471"/>
      <c r="G69" s="472"/>
      <c r="H69" s="472"/>
      <c r="I69" s="472"/>
      <c r="J69" s="472"/>
      <c r="K69" s="472"/>
      <c r="L69" s="473"/>
      <c r="M69"/>
      <c r="O69" s="325"/>
      <c r="P69" s="242" t="s">
        <v>199</v>
      </c>
      <c r="Q69" s="303">
        <f t="shared" ca="1" si="14"/>
        <v>1</v>
      </c>
      <c r="R69" s="221" t="str">
        <f t="shared" ca="1" si="18"/>
        <v/>
      </c>
      <c r="S69" s="198" t="s">
        <v>200</v>
      </c>
      <c r="T69" s="303">
        <f t="shared" ca="1" si="15"/>
        <v>1</v>
      </c>
      <c r="U69" s="220" t="str">
        <f t="shared" ca="1" si="19"/>
        <v/>
      </c>
      <c r="V69" s="198" t="s">
        <v>201</v>
      </c>
      <c r="W69" s="198">
        <f t="shared" ca="1" si="2"/>
        <v>1</v>
      </c>
      <c r="X69" s="199" t="str">
        <f t="shared" ca="1" si="16"/>
        <v xml:space="preserve"> 
2.8      </v>
      </c>
      <c r="Y69" s="224" t="b">
        <f t="shared" ca="1" si="20"/>
        <v>0</v>
      </c>
      <c r="Z69" s="231" t="str">
        <f t="shared" ca="1" si="21"/>
        <v/>
      </c>
      <c r="AA69" s="228" t="s">
        <v>23</v>
      </c>
    </row>
    <row r="70" spans="1:28" s="11" customFormat="1" x14ac:dyDescent="0.3">
      <c r="A70" s="10">
        <v>2.9</v>
      </c>
      <c r="B70" s="35" t="s">
        <v>202</v>
      </c>
      <c r="C70" s="76"/>
      <c r="D70" s="83"/>
      <c r="E70" s="330" t="str">
        <f t="shared" si="17"/>
        <v/>
      </c>
      <c r="F70" s="471"/>
      <c r="G70" s="472"/>
      <c r="H70" s="472"/>
      <c r="I70" s="472"/>
      <c r="J70" s="472"/>
      <c r="K70" s="472"/>
      <c r="L70" s="473"/>
      <c r="M70"/>
      <c r="O70" s="325"/>
      <c r="P70" s="242" t="s">
        <v>203</v>
      </c>
      <c r="Q70" s="303">
        <f t="shared" ca="1" si="14"/>
        <v>1</v>
      </c>
      <c r="R70" s="221" t="str">
        <f t="shared" ca="1" si="18"/>
        <v/>
      </c>
      <c r="S70" s="198" t="s">
        <v>204</v>
      </c>
      <c r="T70" s="303">
        <f t="shared" ca="1" si="15"/>
        <v>1</v>
      </c>
      <c r="U70" s="220" t="str">
        <f t="shared" ca="1" si="19"/>
        <v/>
      </c>
      <c r="V70" s="198" t="s">
        <v>205</v>
      </c>
      <c r="W70" s="198">
        <f t="shared" ca="1" si="2"/>
        <v>1</v>
      </c>
      <c r="X70" s="199" t="str">
        <f t="shared" ca="1" si="16"/>
        <v xml:space="preserve"> 
2.9      </v>
      </c>
      <c r="Y70" s="224" t="b">
        <f t="shared" ca="1" si="20"/>
        <v>0</v>
      </c>
      <c r="Z70" s="231" t="str">
        <f t="shared" ca="1" si="21"/>
        <v/>
      </c>
      <c r="AA70" s="228" t="s">
        <v>23</v>
      </c>
    </row>
    <row r="71" spans="1:28" s="11" customFormat="1" x14ac:dyDescent="0.3">
      <c r="A71" s="10">
        <v>2.1</v>
      </c>
      <c r="B71" s="35" t="s">
        <v>206</v>
      </c>
      <c r="C71" s="76"/>
      <c r="D71" s="83"/>
      <c r="E71" s="330" t="str">
        <f t="shared" si="17"/>
        <v/>
      </c>
      <c r="F71" s="471"/>
      <c r="G71" s="472"/>
      <c r="H71" s="472"/>
      <c r="I71" s="472"/>
      <c r="J71" s="472"/>
      <c r="K71" s="472"/>
      <c r="L71" s="473"/>
      <c r="M71"/>
      <c r="O71" s="325"/>
      <c r="P71" s="242" t="s">
        <v>207</v>
      </c>
      <c r="Q71" s="303">
        <f t="shared" ca="1" si="14"/>
        <v>1</v>
      </c>
      <c r="R71" s="221" t="str">
        <f t="shared" ca="1" si="18"/>
        <v/>
      </c>
      <c r="S71" s="198" t="s">
        <v>208</v>
      </c>
      <c r="T71" s="303">
        <f t="shared" ca="1" si="15"/>
        <v>1</v>
      </c>
      <c r="U71" s="220" t="str">
        <f ca="1">IF(AND($S$60=FALSE,INDIRECT(S71)=""),
IF(LEN(R71)&gt;0,"",LEFT(OFFSET(INDIRECT(S71),0,-2),15)&amp;"…   ")&amp;"Non-Recurrent spending: Enter a value or £0:00 ","")</f>
        <v/>
      </c>
      <c r="V71" s="198" t="s">
        <v>209</v>
      </c>
      <c r="W71" s="198">
        <f t="shared" ca="1" si="2"/>
        <v>1</v>
      </c>
      <c r="X71" s="199" t="str">
        <f t="shared" ca="1" si="16"/>
        <v xml:space="preserve"> 
2.1      </v>
      </c>
      <c r="Y71" s="224" t="b">
        <f t="shared" ca="1" si="20"/>
        <v>0</v>
      </c>
      <c r="Z71" s="231" t="str">
        <f t="shared" ca="1" si="21"/>
        <v/>
      </c>
      <c r="AA71" s="228" t="s">
        <v>23</v>
      </c>
      <c r="AB71" s="212"/>
    </row>
    <row r="72" spans="1:28" s="11" customFormat="1" x14ac:dyDescent="0.3">
      <c r="A72" s="10">
        <v>2.11</v>
      </c>
      <c r="B72" s="1" t="s">
        <v>210</v>
      </c>
      <c r="C72" s="77">
        <f>SUM(C61:C71)</f>
        <v>0</v>
      </c>
      <c r="D72" s="77">
        <f>SUM(D61:D71)</f>
        <v>0</v>
      </c>
      <c r="E72" s="11" t="str">
        <f>IF(OR(SUM(C61:C71)&lt;&gt;C72,SUM(D61:D71)&lt;&gt;D72),"Total Error?","")</f>
        <v/>
      </c>
      <c r="F72" s="471"/>
      <c r="G72" s="472"/>
      <c r="H72" s="472"/>
      <c r="I72" s="472"/>
      <c r="J72" s="472"/>
      <c r="K72" s="472"/>
      <c r="L72" s="473"/>
      <c r="M72"/>
      <c r="O72" s="325"/>
      <c r="S72" s="213"/>
      <c r="T72" s="214"/>
      <c r="U72" s="311" t="s">
        <v>211</v>
      </c>
      <c r="V72" s="198" t="s">
        <v>212</v>
      </c>
      <c r="W72" s="198">
        <f t="shared" ref="W72:W101" ca="1" si="22">IF( ISERROR(IF(OR(INDIRECT(V72)=0,INDIRECT(V72)=""),1,0)),"",IF(OR(INDIRECT(V72)=0,INDIRECT(V72)=""),1,0))</f>
        <v>1</v>
      </c>
      <c r="X72" s="199" t="str">
        <f ca="1">IF(LEN(R73&amp;U73)=0,"",LineBreak&amp;A73&amp;"    "&amp;R73&amp;"  "&amp;U73)</f>
        <v/>
      </c>
      <c r="Y72" s="224" t="b">
        <f ca="1">$U$59=Started</f>
        <v>0</v>
      </c>
      <c r="Z72" s="231" t="str">
        <f t="shared" ref="Z72:Z121" ca="1" si="23" xml:space="preserve"> IF(Y72,X72&amp;IF(AA72&lt;&gt;"",IF(V72&lt;&gt;"", "  ("&amp;V72&amp;")  - ",""),""),"")</f>
        <v/>
      </c>
      <c r="AA72" s="228" t="s">
        <v>23</v>
      </c>
      <c r="AB72" s="2"/>
    </row>
    <row r="73" spans="1:28" s="11" customFormat="1" x14ac:dyDescent="0.3">
      <c r="A73" s="96">
        <v>2.12</v>
      </c>
      <c r="B73" s="97" t="s">
        <v>213</v>
      </c>
      <c r="C73" s="98"/>
      <c r="D73" s="99"/>
      <c r="E73" s="359" t="s">
        <v>214</v>
      </c>
      <c r="F73" s="557"/>
      <c r="G73" s="558"/>
      <c r="H73" s="558"/>
      <c r="I73" s="558"/>
      <c r="J73" s="558"/>
      <c r="K73" s="558"/>
      <c r="L73" s="559"/>
      <c r="M73"/>
      <c r="O73" s="325"/>
      <c r="P73" s="242" t="s">
        <v>215</v>
      </c>
      <c r="Q73" s="303">
        <f t="shared" ref="Q73:Q74" ca="1" si="24">IF(INDIRECT(P73)="",1,0)</f>
        <v>1</v>
      </c>
      <c r="R73" s="221" t="str">
        <f ca="1">IF(AND($P$60=FALSE,INDIRECT(P73)=""),"'OTHER'…     Recurr. spend:   Enter value or £0:00 ","")</f>
        <v/>
      </c>
      <c r="S73" s="198" t="s">
        <v>212</v>
      </c>
      <c r="T73" s="303">
        <f t="shared" ref="T73:T74" ca="1" si="25">IF(INDIRECT(S73)="",1,0)</f>
        <v>1</v>
      </c>
      <c r="U73" s="220" t="str">
        <f ca="1">IF(AND($S$60=FALSE,INDIRECT(S73)=""),
IF(LEN(R73)&gt;0,"","'OTHER'…   ")&amp;"Non-Recurrent spending: Enter a value or £0:00 ","")</f>
        <v/>
      </c>
      <c r="V73" s="198" t="s">
        <v>216</v>
      </c>
      <c r="W73" s="198">
        <f t="shared" ca="1" si="22"/>
        <v>1</v>
      </c>
      <c r="X73" s="199" t="str">
        <f ca="1">IF(Q73+T73=0,"",LineBreak&amp;LineBreak&amp;Indent&amp;"Please  add information on the top 3 'other' expenditures that might make up this £"&amp;C73+D73&amp;" in C73 &amp; D73")&amp;LineBreak</f>
        <v xml:space="preserve"> 
                 Please  add information on the top 3 'other' expenditures that might make up this £0 in C73 &amp; D73 
</v>
      </c>
      <c r="Y73" s="224" t="b">
        <f ca="1">$U$59=Started</f>
        <v>0</v>
      </c>
      <c r="Z73" s="231" t="str">
        <f ca="1" xml:space="preserve"> IF(Y73,X73&amp;IF(AA73&lt;&gt;"",IF(V73&lt;&gt;"", "  ("&amp;V73&amp;")  - ",""),""),"")</f>
        <v/>
      </c>
      <c r="AA73" s="228"/>
      <c r="AB73" s="2"/>
    </row>
    <row r="74" spans="1:28" s="11" customFormat="1" ht="13.5" thickBot="1" x14ac:dyDescent="0.35">
      <c r="A74" s="10">
        <v>2.13</v>
      </c>
      <c r="B74" s="10" t="s">
        <v>217</v>
      </c>
      <c r="C74" s="76"/>
      <c r="D74" s="83"/>
      <c r="E74" s="330" t="str">
        <f t="shared" ref="E74" si="26">IF(AND(COUNTA($C$61:$D$71)&gt;0,OR(C74="",D74="")),
IF(C74="",1,0)+IF(D74="",1,0)&amp;" blank...",
IF(AND(OR(C74&gt;0,D74&gt;0),F74=""),"Add comment?",""))</f>
        <v/>
      </c>
      <c r="F74" s="455"/>
      <c r="G74" s="556"/>
      <c r="H74" s="556"/>
      <c r="I74" s="556"/>
      <c r="J74" s="556"/>
      <c r="K74" s="556"/>
      <c r="L74" s="456"/>
      <c r="M74"/>
      <c r="O74" s="325"/>
      <c r="P74" s="242" t="s">
        <v>218</v>
      </c>
      <c r="Q74" s="303">
        <f t="shared" ca="1" si="24"/>
        <v>1</v>
      </c>
      <c r="R74" s="221" t="str">
        <f ca="1">IF(AND($P$60=FALSE,INDIRECT(P74)=""),LEFT(OFFSET(INDIRECT(P74),0,-1),15)&amp;"…   " &amp;"Recurr. spend: Enter value or £0:00 in "&amp;P74,"")</f>
        <v/>
      </c>
      <c r="S74" s="198" t="s">
        <v>219</v>
      </c>
      <c r="T74" s="303">
        <f t="shared" ca="1" si="25"/>
        <v>1</v>
      </c>
      <c r="U74" s="220" t="str">
        <f ca="1">IF(AND($S$60=FALSE,INDIRECT(S74)=""),
IF(LEN(     R74)&gt;0,"",LEFT(OFFSET(INDIRECT(S74),0,-2),15)&amp;"…   ")&amp;"Non-Recurrent spending: Enter a value or £0:00 in "&amp;S74,"")</f>
        <v/>
      </c>
      <c r="V74" s="198" t="s">
        <v>219</v>
      </c>
      <c r="W74" s="198">
        <f t="shared" ca="1" si="22"/>
        <v>1</v>
      </c>
      <c r="X74" s="199" t="str">
        <f ca="1">IF(LEN(R74&amp;U74)=0,"",LineBreak&amp;A74&amp;"    "&amp;R74&amp;"  "&amp;U74)</f>
        <v/>
      </c>
      <c r="Y74" s="224" t="b">
        <f ca="1">$U$59=Started</f>
        <v>0</v>
      </c>
      <c r="Z74" s="231" t="str">
        <f t="shared" ca="1" si="23"/>
        <v/>
      </c>
      <c r="AA74" s="228"/>
      <c r="AB74" s="2"/>
    </row>
    <row r="75" spans="1:28" s="11" customFormat="1" ht="13.5" thickBot="1" x14ac:dyDescent="0.35">
      <c r="A75" s="391">
        <v>2.14</v>
      </c>
      <c r="B75" s="391" t="s">
        <v>220</v>
      </c>
      <c r="C75" s="78">
        <f>SUM(C72:C74)</f>
        <v>0</v>
      </c>
      <c r="D75" s="79">
        <f>SUM(D72:D74)</f>
        <v>0</v>
      </c>
      <c r="F75" s="132"/>
      <c r="G75" s="132"/>
      <c r="H75" s="132"/>
      <c r="I75" s="132"/>
      <c r="J75" s="132"/>
      <c r="K75" s="132"/>
      <c r="L75" s="132"/>
      <c r="M75"/>
      <c r="O75" s="325"/>
      <c r="Q75" s="2"/>
      <c r="R75" s="2"/>
      <c r="S75" s="2"/>
      <c r="T75" s="2"/>
      <c r="U75" s="2"/>
      <c r="V75" s="198" t="s">
        <v>221</v>
      </c>
      <c r="W75" s="198">
        <f t="shared" ca="1" si="22"/>
        <v>1</v>
      </c>
      <c r="X75" s="199"/>
      <c r="Y75" s="223"/>
      <c r="Z75" s="231" t="str">
        <f t="shared" si="23"/>
        <v/>
      </c>
      <c r="AA75" s="228"/>
      <c r="AB75" s="2"/>
    </row>
    <row r="76" spans="1:28" s="11" customFormat="1" ht="13.5" thickBot="1" x14ac:dyDescent="0.35">
      <c r="A76" s="391"/>
      <c r="B76" s="391" t="s">
        <v>222</v>
      </c>
      <c r="C76" s="80">
        <f>C75+D75</f>
        <v>0</v>
      </c>
      <c r="D76" s="40"/>
      <c r="F76" s="132"/>
      <c r="G76" s="132"/>
      <c r="H76" s="132"/>
      <c r="I76" s="132"/>
      <c r="J76" s="132"/>
      <c r="K76" s="132"/>
      <c r="L76" s="132"/>
      <c r="M76"/>
      <c r="O76" s="325"/>
      <c r="P76" s="1"/>
      <c r="Q76" s="103"/>
      <c r="R76" s="14"/>
      <c r="S76" s="1"/>
      <c r="T76" s="14"/>
      <c r="U76" s="14"/>
      <c r="V76" s="198" t="s">
        <v>223</v>
      </c>
      <c r="W76" s="198">
        <f t="shared" ca="1" si="22"/>
        <v>1</v>
      </c>
      <c r="X76" s="199"/>
      <c r="Y76" s="223"/>
      <c r="Z76" s="231" t="str">
        <f t="shared" si="23"/>
        <v/>
      </c>
      <c r="AA76" s="228" t="s">
        <v>23</v>
      </c>
      <c r="AB76" s="2"/>
    </row>
    <row r="77" spans="1:28" s="11" customFormat="1" ht="14.5" x14ac:dyDescent="0.3">
      <c r="A77" s="391"/>
      <c r="B77" s="37"/>
      <c r="C77" s="41"/>
      <c r="D77" s="40"/>
      <c r="F77" s="38"/>
      <c r="G77" s="38"/>
      <c r="M77"/>
      <c r="O77" s="325"/>
      <c r="P77" s="1" t="s">
        <v>152</v>
      </c>
      <c r="Q77" s="103"/>
      <c r="R77" s="14"/>
      <c r="S77" s="1" t="s">
        <v>153</v>
      </c>
      <c r="T77" s="14"/>
      <c r="U77" s="301" t="s">
        <v>17</v>
      </c>
      <c r="V77" s="198"/>
      <c r="W77" s="198"/>
      <c r="X77" s="199"/>
      <c r="Y77" s="223"/>
      <c r="Z77" s="231" t="str">
        <f t="shared" si="23"/>
        <v/>
      </c>
      <c r="AA77" s="228" t="s">
        <v>23</v>
      </c>
      <c r="AB77" s="2"/>
    </row>
    <row r="78" spans="1:28" s="11" customFormat="1" ht="13.5" thickBot="1" x14ac:dyDescent="0.35">
      <c r="A78" s="22" t="s">
        <v>224</v>
      </c>
      <c r="B78" s="492" t="s">
        <v>225</v>
      </c>
      <c r="C78" s="492"/>
      <c r="F78" s="42"/>
      <c r="M78"/>
      <c r="O78" s="325"/>
      <c r="P78" s="11" t="s">
        <v>157</v>
      </c>
      <c r="Q78" s="11" t="s">
        <v>158</v>
      </c>
      <c r="R78" s="14"/>
      <c r="S78" s="11" t="s">
        <v>157</v>
      </c>
      <c r="T78" s="11" t="s">
        <v>158</v>
      </c>
      <c r="U78" s="224" t="str">
        <f ca="1">IF(SUM(Q80:Q89)+SUM(T80:T90)=21,NotStarted,
IF(SUM(Q80:Q89)+SUM(T80:T90)=0,Finished,Started))</f>
        <v xml:space="preserve">       &lt; Not Started &gt;</v>
      </c>
      <c r="V78" s="198" t="s">
        <v>226</v>
      </c>
      <c r="W78" s="198">
        <f t="shared" ca="1" si="22"/>
        <v>1</v>
      </c>
      <c r="X78" s="199" t="str">
        <f ca="1">LineBreak &amp;LineBreak&amp;A78&amp;"  "&amp;LEFT(B78,60)&amp;U78</f>
        <v xml:space="preserve"> 
3  INCOME [£] - To be entered as positive numbers only       &lt; Not Started &gt;</v>
      </c>
      <c r="Y78" s="223" t="b">
        <v>1</v>
      </c>
      <c r="Z78" s="231" t="str">
        <f t="shared" ca="1" si="23"/>
        <v xml:space="preserve"> 
3  INCOME [£] - To be entered as positive numbers only       &lt; Not Started &gt;</v>
      </c>
      <c r="AA78" s="228"/>
      <c r="AB78" s="2"/>
    </row>
    <row r="79" spans="1:28" s="11" customFormat="1" ht="42" customHeight="1" thickBot="1" x14ac:dyDescent="0.35">
      <c r="A79" s="492" t="s">
        <v>227</v>
      </c>
      <c r="B79" s="492"/>
      <c r="C79" s="120" t="s">
        <v>228</v>
      </c>
      <c r="D79" s="120" t="s">
        <v>229</v>
      </c>
      <c r="E79" s="358" t="s">
        <v>163</v>
      </c>
      <c r="F79" s="450" t="s">
        <v>105</v>
      </c>
      <c r="G79" s="451"/>
      <c r="H79" s="451"/>
      <c r="I79" s="451"/>
      <c r="J79" s="451"/>
      <c r="K79" s="451"/>
      <c r="L79" s="452"/>
      <c r="M79"/>
      <c r="O79" s="325"/>
      <c r="P79" s="322" t="b">
        <f ca="1">SUM(Q80:Q89)=10</f>
        <v>1</v>
      </c>
      <c r="Q79" s="218" t="str">
        <f ca="1">IF(P79,LineBreak&amp;Indent&amp;"Please check as no ' Recurrent Income' recorded:  PLEASE ADD ZEROS to indicate no income."&amp;LineBreak,11-SUM(Q80:Q90)&amp;" recurrent item(s)  "&amp;
IF(COUNTA(C80:C90)=11,"", "     "&amp;COUNTIF(C80:C90,"")&amp;" un-reported values. (see below)"))</f>
        <v xml:space="preserve"> 
                 Please check as no ' Recurrent Income' recorded:  PLEASE ADD ZEROS to indicate no income. 
</v>
      </c>
      <c r="R79" s="14"/>
      <c r="S79" s="200" t="b">
        <f ca="1">SUM(T80:T90)=11</f>
        <v>1</v>
      </c>
      <c r="T79" s="218" t="str">
        <f ca="1">IF(S79,LineBreak &amp;Indent&amp;"No  'Non-Recurrent' Income?  PLEASE ADD ZEROs to indicate no income"&amp;LineBreak,11-SUM(T80:T90)&amp;" non - recurrent item(s) "&amp;
IF(COUNTA(D80:D90)=11,"", "   "&amp;COUNTIF(D80:D90,"")&amp;" un-reported values. (see below)"))</f>
        <v xml:space="preserve"> 
                 No  'Non-Recurrent' Income?  PLEASE ADD ZEROs to indicate no income 
</v>
      </c>
      <c r="U79" s="14"/>
      <c r="V79" s="200" t="b">
        <f ca="1">SUM(W80:W90)=11</f>
        <v>1</v>
      </c>
      <c r="W79" s="218" t="str">
        <f ca="1">IF(V79,LineBreak&amp;Indent&amp;"No comments present either",11-SUM(W80:W90)&amp;" comment(s) ")</f>
        <v xml:space="preserve"> 
                 No comments present either</v>
      </c>
      <c r="X79" s="219" t="str">
        <f ca="1">IF(AND(P79,S79,V79),LineBreak &amp; Indent&amp;"ALL Expenditure Details still required",
"                                                    "&amp;"SUMMARY:"&amp;
LineBreak&amp;LineBreak&amp;"                "&amp;Q79&amp;"      Total :  £"&amp;C91&amp;
LineBreak&amp;LineBreak&amp;"                "&amp;T79&amp;"      Total :  £"&amp;D91&amp;
LineBreak&amp;"                "&amp;W79)</f>
        <v xml:space="preserve"> 
                 ALL Expenditure Details still required</v>
      </c>
      <c r="Y79" s="223" t="b">
        <f ca="1">U78&lt;&gt;NotStarted</f>
        <v>0</v>
      </c>
      <c r="Z79" s="231" t="str">
        <f ca="1" xml:space="preserve"> LineBreak &amp; Indent &amp; IF(Y79,X79&amp;IF(AA79&lt;&gt;"",IF(V79&lt;&gt;"", "  ("&amp;V79&amp;")  - ",""),""),"")&amp;LineBreak</f>
        <v xml:space="preserve"> 
</v>
      </c>
      <c r="AA79" s="228"/>
      <c r="AB79" s="2"/>
    </row>
    <row r="80" spans="1:28" s="11" customFormat="1" x14ac:dyDescent="0.3">
      <c r="A80" s="10">
        <v>3.1</v>
      </c>
      <c r="B80" s="11" t="s">
        <v>230</v>
      </c>
      <c r="C80" s="75"/>
      <c r="D80" s="83"/>
      <c r="E80" s="330" t="str">
        <f>IF(AND(COUNTA($C$80:$D$90)&gt;1,OR(C80="",D80="")),
IF(C80="",1,0)+IF(D80="",1,0)&amp;" blank….",
IF(AND(OR(C80&gt;0,D80&gt;0),F80=""),"Add comment?",""))</f>
        <v/>
      </c>
      <c r="F80" s="560"/>
      <c r="G80" s="561"/>
      <c r="H80" s="561"/>
      <c r="I80" s="561"/>
      <c r="J80" s="561"/>
      <c r="K80" s="561"/>
      <c r="L80" s="562"/>
      <c r="M80"/>
      <c r="O80" s="325" t="str">
        <f ca="1">U78</f>
        <v xml:space="preserve">       &lt; Not Started &gt;</v>
      </c>
      <c r="P80" s="242" t="s">
        <v>231</v>
      </c>
      <c r="Q80" s="303">
        <f ca="1">IF(INDIRECT(P80)="",1,0)</f>
        <v>1</v>
      </c>
      <c r="R80" s="221" t="str">
        <f ca="1">IF(AND($P$79=FALSE,INDIRECT(P80)=""),LEFT(OFFSET(INDIRECT(P80),0,-1),20)&amp;"…   " &amp;"Recurr. Income: Enter value or £0:00 ","")</f>
        <v/>
      </c>
      <c r="S80" s="198" t="s">
        <v>232</v>
      </c>
      <c r="T80" s="303">
        <f ca="1">IF(INDIRECT(S80)="",1,0)</f>
        <v>1</v>
      </c>
      <c r="U80" s="220" t="str">
        <f ca="1">IF(AND($S$79=FALSE,INDIRECT(S80)=""),
IF(LEN(     R80)&gt;0,"",LEFT(OFFSET(INDIRECT(S80),0,-2),15)&amp;"…   ")&amp;"Non-Recurrent Income:     Enter a value or £0:00 ","")</f>
        <v/>
      </c>
      <c r="V80" s="198" t="s">
        <v>233</v>
      </c>
      <c r="W80" s="198">
        <f t="shared" ca="1" si="22"/>
        <v>1</v>
      </c>
      <c r="X80" s="199" t="str">
        <f t="shared" ref="X80:X90" ca="1" si="27">LineBreak&amp;A80&amp;Indent&amp;R80&amp;"      "&amp;U80</f>
        <v xml:space="preserve"> 
3.1                       </v>
      </c>
      <c r="Y80" s="224" t="b">
        <f ca="1">OR(LEN(R80)&gt;1,LEN(U80)&gt;1)</f>
        <v>0</v>
      </c>
      <c r="Z80" s="231" t="str">
        <f t="shared" ca="1" si="23"/>
        <v/>
      </c>
      <c r="AA80" s="228"/>
      <c r="AB80" s="2"/>
    </row>
    <row r="81" spans="1:29" s="11" customFormat="1" x14ac:dyDescent="0.3">
      <c r="A81" s="10">
        <v>3.2</v>
      </c>
      <c r="B81" s="11" t="s">
        <v>234</v>
      </c>
      <c r="C81" s="76"/>
      <c r="D81" s="83"/>
      <c r="E81" s="330" t="str">
        <f t="shared" ref="E81:E90" si="28">IF(AND(COUNTA($C$80:$D$90)&gt;1,OR(C81="",D81="")),
IF(C81="",1,0)+IF(D81="",1,0)&amp;" blank….",
IF(OR(C81&gt;0,D81&gt;0),"Add comment?",""))</f>
        <v/>
      </c>
      <c r="F81" s="471"/>
      <c r="G81" s="472"/>
      <c r="H81" s="472"/>
      <c r="I81" s="472"/>
      <c r="J81" s="472"/>
      <c r="K81" s="472"/>
      <c r="L81" s="473"/>
      <c r="M81"/>
      <c r="O81" s="325"/>
      <c r="P81" s="242" t="s">
        <v>235</v>
      </c>
      <c r="Q81" s="303">
        <f t="shared" ref="Q81:Q89" ca="1" si="29">IF(INDIRECT(P81)="",1,0)</f>
        <v>1</v>
      </c>
      <c r="R81" s="221" t="str">
        <f t="shared" ref="R81:R90" ca="1" si="30">IF(AND($P$79=FALSE,INDIRECT(P81)=""),LEFT(OFFSET(INDIRECT(P81),0,-1),20)&amp;"…   " &amp;"Recurr. Income: Enter value or £0:00 ","")</f>
        <v/>
      </c>
      <c r="S81" s="198" t="s">
        <v>236</v>
      </c>
      <c r="T81" s="303">
        <f t="shared" ref="T81:T90" ca="1" si="31">IF(INDIRECT(S81)="",1,0)</f>
        <v>1</v>
      </c>
      <c r="U81" s="220" t="str">
        <f t="shared" ref="U81:U90" ca="1" si="32">IF(AND($S$79=FALSE,INDIRECT(S81)=""),
IF(LEN(     R81)&gt;0,"",LEFT(OFFSET(INDIRECT(S81),0,-2),15)&amp;"…   ")&amp;"Non-Recurrent Income:     Enter a value or £0:00 ","")</f>
        <v/>
      </c>
      <c r="V81" s="198" t="s">
        <v>237</v>
      </c>
      <c r="W81" s="198">
        <f t="shared" ca="1" si="22"/>
        <v>1</v>
      </c>
      <c r="X81" s="199" t="str">
        <f t="shared" ca="1" si="27"/>
        <v xml:space="preserve"> 
3.2                       </v>
      </c>
      <c r="Y81" s="224" t="b">
        <f t="shared" ref="Y81:Y90" ca="1" si="33">OR(LEN(R81)&gt;1,LEN(U81)&gt;1)</f>
        <v>0</v>
      </c>
      <c r="Z81" s="231" t="str">
        <f t="shared" ca="1" si="23"/>
        <v/>
      </c>
      <c r="AA81" s="228"/>
      <c r="AB81" s="2"/>
    </row>
    <row r="82" spans="1:29" s="11" customFormat="1" x14ac:dyDescent="0.3">
      <c r="A82" s="10">
        <v>3.3</v>
      </c>
      <c r="B82" s="11" t="s">
        <v>238</v>
      </c>
      <c r="C82" s="76"/>
      <c r="D82" s="83"/>
      <c r="E82" s="330" t="str">
        <f t="shared" si="28"/>
        <v/>
      </c>
      <c r="F82" s="471"/>
      <c r="G82" s="472"/>
      <c r="H82" s="472"/>
      <c r="I82" s="472"/>
      <c r="J82" s="472"/>
      <c r="K82" s="472"/>
      <c r="L82" s="473"/>
      <c r="M82"/>
      <c r="O82" s="325"/>
      <c r="P82" s="242" t="s">
        <v>239</v>
      </c>
      <c r="Q82" s="303">
        <f t="shared" ca="1" si="29"/>
        <v>1</v>
      </c>
      <c r="R82" s="221" t="str">
        <f t="shared" ca="1" si="30"/>
        <v/>
      </c>
      <c r="S82" s="198" t="s">
        <v>240</v>
      </c>
      <c r="T82" s="303">
        <f t="shared" ca="1" si="31"/>
        <v>1</v>
      </c>
      <c r="U82" s="220" t="str">
        <f t="shared" ca="1" si="32"/>
        <v/>
      </c>
      <c r="V82" s="198" t="s">
        <v>241</v>
      </c>
      <c r="W82" s="198">
        <f t="shared" ca="1" si="22"/>
        <v>1</v>
      </c>
      <c r="X82" s="199" t="str">
        <f t="shared" ca="1" si="27"/>
        <v xml:space="preserve"> 
3.3                       </v>
      </c>
      <c r="Y82" s="224" t="b">
        <f t="shared" ca="1" si="33"/>
        <v>0</v>
      </c>
      <c r="Z82" s="231" t="str">
        <f t="shared" ca="1" si="23"/>
        <v/>
      </c>
      <c r="AA82" s="228"/>
      <c r="AB82" s="2"/>
    </row>
    <row r="83" spans="1:29" s="11" customFormat="1" x14ac:dyDescent="0.3">
      <c r="A83" s="10">
        <v>3.4</v>
      </c>
      <c r="B83" s="11" t="s">
        <v>242</v>
      </c>
      <c r="C83" s="76"/>
      <c r="D83" s="83"/>
      <c r="E83" s="330" t="str">
        <f t="shared" si="28"/>
        <v/>
      </c>
      <c r="F83" s="471"/>
      <c r="G83" s="472"/>
      <c r="H83" s="472"/>
      <c r="I83" s="472"/>
      <c r="J83" s="472"/>
      <c r="K83" s="472"/>
      <c r="L83" s="473"/>
      <c r="M83"/>
      <c r="O83" s="325"/>
      <c r="P83" s="242" t="s">
        <v>243</v>
      </c>
      <c r="Q83" s="303">
        <f t="shared" ca="1" si="29"/>
        <v>1</v>
      </c>
      <c r="R83" s="221" t="str">
        <f t="shared" ca="1" si="30"/>
        <v/>
      </c>
      <c r="S83" s="198" t="s">
        <v>244</v>
      </c>
      <c r="T83" s="303">
        <f t="shared" ca="1" si="31"/>
        <v>1</v>
      </c>
      <c r="U83" s="220" t="str">
        <f t="shared" ca="1" si="32"/>
        <v/>
      </c>
      <c r="V83" s="198" t="s">
        <v>245</v>
      </c>
      <c r="W83" s="198">
        <f t="shared" ca="1" si="22"/>
        <v>1</v>
      </c>
      <c r="X83" s="199" t="str">
        <f t="shared" ca="1" si="27"/>
        <v xml:space="preserve"> 
3.4                       </v>
      </c>
      <c r="Y83" s="224" t="b">
        <f t="shared" ca="1" si="33"/>
        <v>0</v>
      </c>
      <c r="Z83" s="231" t="str">
        <f t="shared" ca="1" si="23"/>
        <v/>
      </c>
      <c r="AA83" s="228"/>
      <c r="AB83" s="2"/>
    </row>
    <row r="84" spans="1:29" s="11" customFormat="1" x14ac:dyDescent="0.3">
      <c r="A84" s="10">
        <v>3.5</v>
      </c>
      <c r="B84" s="11" t="s">
        <v>246</v>
      </c>
      <c r="C84" s="76"/>
      <c r="D84" s="83"/>
      <c r="E84" s="330" t="str">
        <f t="shared" si="28"/>
        <v/>
      </c>
      <c r="F84" s="471"/>
      <c r="G84" s="472"/>
      <c r="H84" s="472"/>
      <c r="I84" s="472"/>
      <c r="J84" s="472"/>
      <c r="K84" s="472"/>
      <c r="L84" s="473"/>
      <c r="M84"/>
      <c r="O84" s="325"/>
      <c r="P84" s="242" t="s">
        <v>247</v>
      </c>
      <c r="Q84" s="303">
        <f t="shared" ca="1" si="29"/>
        <v>1</v>
      </c>
      <c r="R84" s="221" t="str">
        <f t="shared" ca="1" si="30"/>
        <v/>
      </c>
      <c r="S84" s="198" t="s">
        <v>248</v>
      </c>
      <c r="T84" s="303">
        <f t="shared" ca="1" si="31"/>
        <v>1</v>
      </c>
      <c r="U84" s="220" t="str">
        <f t="shared" ca="1" si="32"/>
        <v/>
      </c>
      <c r="V84" s="198" t="s">
        <v>249</v>
      </c>
      <c r="W84" s="198">
        <f t="shared" ca="1" si="22"/>
        <v>1</v>
      </c>
      <c r="X84" s="199" t="str">
        <f t="shared" ca="1" si="27"/>
        <v xml:space="preserve"> 
3.5                       </v>
      </c>
      <c r="Y84" s="224" t="b">
        <f t="shared" ca="1" si="33"/>
        <v>0</v>
      </c>
      <c r="Z84" s="231" t="str">
        <f t="shared" ca="1" si="23"/>
        <v/>
      </c>
      <c r="AA84" s="228"/>
      <c r="AB84" s="2"/>
    </row>
    <row r="85" spans="1:29" s="11" customFormat="1" x14ac:dyDescent="0.3">
      <c r="A85" s="10">
        <v>3.6</v>
      </c>
      <c r="B85" s="11" t="s">
        <v>250</v>
      </c>
      <c r="C85" s="76"/>
      <c r="D85" s="83"/>
      <c r="E85" s="330" t="str">
        <f t="shared" si="28"/>
        <v/>
      </c>
      <c r="F85" s="471"/>
      <c r="G85" s="472"/>
      <c r="H85" s="472"/>
      <c r="I85" s="472"/>
      <c r="J85" s="472"/>
      <c r="K85" s="472"/>
      <c r="L85" s="473"/>
      <c r="M85"/>
      <c r="O85" s="325"/>
      <c r="P85" s="242" t="s">
        <v>251</v>
      </c>
      <c r="Q85" s="303">
        <f t="shared" ca="1" si="29"/>
        <v>1</v>
      </c>
      <c r="R85" s="221" t="str">
        <f t="shared" ca="1" si="30"/>
        <v/>
      </c>
      <c r="S85" s="198" t="s">
        <v>252</v>
      </c>
      <c r="T85" s="303">
        <f t="shared" ca="1" si="31"/>
        <v>1</v>
      </c>
      <c r="U85" s="220" t="str">
        <f t="shared" ca="1" si="32"/>
        <v/>
      </c>
      <c r="V85" s="198" t="s">
        <v>253</v>
      </c>
      <c r="W85" s="198">
        <f t="shared" ca="1" si="22"/>
        <v>1</v>
      </c>
      <c r="X85" s="199" t="str">
        <f t="shared" ca="1" si="27"/>
        <v xml:space="preserve"> 
3.6                       </v>
      </c>
      <c r="Y85" s="224" t="b">
        <f t="shared" ca="1" si="33"/>
        <v>0</v>
      </c>
      <c r="Z85" s="231" t="str">
        <f t="shared" ca="1" si="23"/>
        <v/>
      </c>
      <c r="AA85" s="228"/>
      <c r="AB85" s="2"/>
    </row>
    <row r="86" spans="1:29" s="11" customFormat="1" x14ac:dyDescent="0.3">
      <c r="A86" s="10">
        <v>3.7</v>
      </c>
      <c r="B86" s="11" t="s">
        <v>254</v>
      </c>
      <c r="C86" s="76"/>
      <c r="D86" s="83"/>
      <c r="E86" s="330" t="str">
        <f t="shared" si="28"/>
        <v/>
      </c>
      <c r="F86" s="471"/>
      <c r="G86" s="472"/>
      <c r="H86" s="472"/>
      <c r="I86" s="472"/>
      <c r="J86" s="472"/>
      <c r="K86" s="472"/>
      <c r="L86" s="473"/>
      <c r="M86"/>
      <c r="O86" s="325"/>
      <c r="P86" s="242" t="s">
        <v>255</v>
      </c>
      <c r="Q86" s="303">
        <f t="shared" ca="1" si="29"/>
        <v>1</v>
      </c>
      <c r="R86" s="221" t="str">
        <f t="shared" ca="1" si="30"/>
        <v/>
      </c>
      <c r="S86" s="198" t="s">
        <v>256</v>
      </c>
      <c r="T86" s="303">
        <f t="shared" ca="1" si="31"/>
        <v>1</v>
      </c>
      <c r="U86" s="220" t="str">
        <f t="shared" ca="1" si="32"/>
        <v/>
      </c>
      <c r="V86" s="198" t="s">
        <v>257</v>
      </c>
      <c r="W86" s="198">
        <f t="shared" ca="1" si="22"/>
        <v>1</v>
      </c>
      <c r="X86" s="199" t="str">
        <f t="shared" ca="1" si="27"/>
        <v xml:space="preserve"> 
3.7                       </v>
      </c>
      <c r="Y86" s="224" t="b">
        <f t="shared" ca="1" si="33"/>
        <v>0</v>
      </c>
      <c r="Z86" s="231" t="str">
        <f t="shared" ca="1" si="23"/>
        <v/>
      </c>
      <c r="AA86" s="228"/>
      <c r="AB86" s="2"/>
    </row>
    <row r="87" spans="1:29" s="11" customFormat="1" x14ac:dyDescent="0.3">
      <c r="A87" s="10">
        <v>3.8</v>
      </c>
      <c r="B87" s="11" t="s">
        <v>258</v>
      </c>
      <c r="C87" s="76"/>
      <c r="D87" s="83"/>
      <c r="E87" s="330" t="str">
        <f t="shared" si="28"/>
        <v/>
      </c>
      <c r="F87" s="471"/>
      <c r="G87" s="472"/>
      <c r="H87" s="472"/>
      <c r="I87" s="472"/>
      <c r="J87" s="472"/>
      <c r="K87" s="472"/>
      <c r="L87" s="473"/>
      <c r="M87"/>
      <c r="O87" s="325"/>
      <c r="P87" s="242" t="s">
        <v>259</v>
      </c>
      <c r="Q87" s="303">
        <f t="shared" ca="1" si="29"/>
        <v>1</v>
      </c>
      <c r="R87" s="221" t="str">
        <f t="shared" ca="1" si="30"/>
        <v/>
      </c>
      <c r="S87" s="198" t="s">
        <v>260</v>
      </c>
      <c r="T87" s="303">
        <f t="shared" ca="1" si="31"/>
        <v>1</v>
      </c>
      <c r="U87" s="220" t="str">
        <f t="shared" ca="1" si="32"/>
        <v/>
      </c>
      <c r="V87" s="198" t="s">
        <v>261</v>
      </c>
      <c r="W87" s="198">
        <f t="shared" ca="1" si="22"/>
        <v>1</v>
      </c>
      <c r="X87" s="199" t="str">
        <f t="shared" ca="1" si="27"/>
        <v xml:space="preserve"> 
3.8                       </v>
      </c>
      <c r="Y87" s="224" t="b">
        <f t="shared" ca="1" si="33"/>
        <v>0</v>
      </c>
      <c r="Z87" s="231" t="str">
        <f t="shared" ca="1" si="23"/>
        <v/>
      </c>
      <c r="AA87" s="228"/>
      <c r="AB87" s="2"/>
    </row>
    <row r="88" spans="1:29" s="11" customFormat="1" x14ac:dyDescent="0.3">
      <c r="A88" s="10">
        <v>3.9</v>
      </c>
      <c r="B88" s="11" t="s">
        <v>262</v>
      </c>
      <c r="C88" s="76"/>
      <c r="D88" s="83"/>
      <c r="E88" s="330" t="str">
        <f t="shared" si="28"/>
        <v/>
      </c>
      <c r="F88" s="471"/>
      <c r="G88" s="472"/>
      <c r="H88" s="472"/>
      <c r="I88" s="472"/>
      <c r="J88" s="472"/>
      <c r="K88" s="472"/>
      <c r="L88" s="473"/>
      <c r="M88"/>
      <c r="O88" s="325"/>
      <c r="P88" s="242" t="s">
        <v>263</v>
      </c>
      <c r="Q88" s="303">
        <f t="shared" ca="1" si="29"/>
        <v>1</v>
      </c>
      <c r="R88" s="221" t="str">
        <f t="shared" ca="1" si="30"/>
        <v/>
      </c>
      <c r="S88" s="198" t="s">
        <v>264</v>
      </c>
      <c r="T88" s="303">
        <f t="shared" ca="1" si="31"/>
        <v>1</v>
      </c>
      <c r="U88" s="220" t="str">
        <f t="shared" ca="1" si="32"/>
        <v/>
      </c>
      <c r="V88" s="198" t="s">
        <v>265</v>
      </c>
      <c r="W88" s="198">
        <f t="shared" ca="1" si="22"/>
        <v>1</v>
      </c>
      <c r="X88" s="199" t="str">
        <f t="shared" ca="1" si="27"/>
        <v xml:space="preserve"> 
3.9                       </v>
      </c>
      <c r="Y88" s="224" t="b">
        <f t="shared" ca="1" si="33"/>
        <v>0</v>
      </c>
      <c r="Z88" s="231" t="str">
        <f t="shared" ca="1" si="23"/>
        <v/>
      </c>
      <c r="AA88" s="228"/>
      <c r="AB88" s="2"/>
    </row>
    <row r="89" spans="1:29" s="11" customFormat="1" x14ac:dyDescent="0.3">
      <c r="A89" s="36">
        <v>3.1</v>
      </c>
      <c r="B89" s="11" t="s">
        <v>266</v>
      </c>
      <c r="C89" s="76"/>
      <c r="D89" s="83"/>
      <c r="E89" s="330" t="str">
        <f t="shared" si="28"/>
        <v/>
      </c>
      <c r="F89" s="471"/>
      <c r="G89" s="472"/>
      <c r="H89" s="472"/>
      <c r="I89" s="472"/>
      <c r="J89" s="472"/>
      <c r="K89" s="472"/>
      <c r="L89" s="473"/>
      <c r="M89"/>
      <c r="O89" s="325"/>
      <c r="P89" s="242" t="s">
        <v>267</v>
      </c>
      <c r="Q89" s="303">
        <f t="shared" ca="1" si="29"/>
        <v>1</v>
      </c>
      <c r="R89" s="221" t="str">
        <f t="shared" ca="1" si="30"/>
        <v/>
      </c>
      <c r="S89" s="198" t="s">
        <v>268</v>
      </c>
      <c r="T89" s="303">
        <f t="shared" ca="1" si="31"/>
        <v>1</v>
      </c>
      <c r="U89" s="220" t="str">
        <f t="shared" ca="1" si="32"/>
        <v/>
      </c>
      <c r="V89" s="198" t="s">
        <v>269</v>
      </c>
      <c r="W89" s="198">
        <f t="shared" ca="1" si="22"/>
        <v>1</v>
      </c>
      <c r="X89" s="199" t="str">
        <f t="shared" ca="1" si="27"/>
        <v xml:space="preserve"> 
3.1                       </v>
      </c>
      <c r="Y89" s="224" t="b">
        <f t="shared" ca="1" si="33"/>
        <v>0</v>
      </c>
      <c r="Z89" s="231" t="str">
        <f t="shared" ca="1" si="23"/>
        <v/>
      </c>
      <c r="AA89" s="228"/>
      <c r="AB89" s="2"/>
    </row>
    <row r="90" spans="1:29" s="11" customFormat="1" x14ac:dyDescent="0.3">
      <c r="A90" s="36">
        <v>3.11</v>
      </c>
      <c r="B90" s="11" t="s">
        <v>270</v>
      </c>
      <c r="C90" s="335">
        <v>0</v>
      </c>
      <c r="D90" s="83"/>
      <c r="E90" s="330" t="str">
        <f t="shared" si="28"/>
        <v/>
      </c>
      <c r="F90" s="471"/>
      <c r="G90" s="472"/>
      <c r="H90" s="472"/>
      <c r="I90" s="472"/>
      <c r="J90" s="472"/>
      <c r="K90" s="472"/>
      <c r="L90" s="473"/>
      <c r="M90"/>
      <c r="O90" s="325"/>
      <c r="P90" s="242" t="s">
        <v>271</v>
      </c>
      <c r="Q90" s="332">
        <v>0</v>
      </c>
      <c r="R90" s="221" t="str">
        <f t="shared" ca="1" si="30"/>
        <v/>
      </c>
      <c r="S90" s="198" t="s">
        <v>272</v>
      </c>
      <c r="T90" s="303">
        <f t="shared" ca="1" si="31"/>
        <v>1</v>
      </c>
      <c r="U90" s="220" t="str">
        <f t="shared" ca="1" si="32"/>
        <v/>
      </c>
      <c r="V90" s="198" t="s">
        <v>273</v>
      </c>
      <c r="W90" s="198">
        <f t="shared" ca="1" si="22"/>
        <v>1</v>
      </c>
      <c r="X90" s="199" t="str">
        <f t="shared" ca="1" si="27"/>
        <v xml:space="preserve"> 
3.11                       </v>
      </c>
      <c r="Y90" s="224" t="b">
        <f t="shared" ca="1" si="33"/>
        <v>0</v>
      </c>
      <c r="Z90" s="231" t="str">
        <f t="shared" ca="1" si="23"/>
        <v/>
      </c>
      <c r="AA90" s="228"/>
      <c r="AB90" s="2"/>
    </row>
    <row r="91" spans="1:29" s="11" customFormat="1" ht="13.5" thickBot="1" x14ac:dyDescent="0.35">
      <c r="A91" s="36">
        <v>3.12</v>
      </c>
      <c r="B91" s="1" t="s">
        <v>274</v>
      </c>
      <c r="C91" s="222">
        <f>SUM(C80:C89)</f>
        <v>0</v>
      </c>
      <c r="D91" s="222">
        <f>SUM(D80:D90)</f>
        <v>0</v>
      </c>
      <c r="E91" s="11" t="str">
        <f>IF(OR(SUM(C80:C90)&lt;&gt;C91,SUM(D80:D90)&lt;&gt;D91),"Total Error(s)?","")</f>
        <v/>
      </c>
      <c r="F91" s="465"/>
      <c r="G91" s="466"/>
      <c r="H91" s="466"/>
      <c r="I91" s="466"/>
      <c r="J91" s="466"/>
      <c r="K91" s="466"/>
      <c r="L91" s="467"/>
      <c r="M91"/>
      <c r="O91" s="325"/>
      <c r="Q91" s="2"/>
      <c r="R91" s="2"/>
      <c r="S91" s="2"/>
      <c r="T91" s="2"/>
      <c r="U91" s="2"/>
      <c r="V91" s="198" t="s">
        <v>275</v>
      </c>
      <c r="W91" s="198">
        <f t="shared" ca="1" si="22"/>
        <v>1</v>
      </c>
      <c r="X91" s="233" t="str">
        <f ca="1">IF(LEN(INDIRECT(V91))=0,"",
LineBreak &amp; LineBreak &amp; Indent &amp;"Income Total(s) Error: Please Check :   "&amp;IF(SUM(C80:C90)&lt;&gt;C91,"C91 'Recurrent' total...  :","")&amp;
IF(SUM(D80:D90)&lt;&gt;D91,"D91 'Non-recurrent' total ...,"""))</f>
        <v/>
      </c>
      <c r="Y91" s="223" t="b">
        <f>LEN(E91)&lt;&gt;0</f>
        <v>0</v>
      </c>
      <c r="Z91" s="231" t="str">
        <f t="shared" si="23"/>
        <v/>
      </c>
      <c r="AA91" s="228"/>
      <c r="AB91" s="2"/>
    </row>
    <row r="92" spans="1:29" s="11" customFormat="1" ht="13.5" thickBot="1" x14ac:dyDescent="0.35">
      <c r="A92" s="391"/>
      <c r="B92" s="391" t="s">
        <v>276</v>
      </c>
      <c r="C92" s="496">
        <f>C91+D91</f>
        <v>0</v>
      </c>
      <c r="D92" s="497"/>
      <c r="F92" s="14"/>
      <c r="G92" s="14"/>
      <c r="H92" s="14"/>
      <c r="I92" s="14"/>
      <c r="M92"/>
      <c r="O92" s="325"/>
      <c r="Q92" s="2"/>
      <c r="R92" s="2"/>
      <c r="S92" s="2"/>
      <c r="T92" s="2"/>
      <c r="U92" s="2"/>
      <c r="V92" s="198"/>
      <c r="W92" s="198" t="str">
        <f t="shared" ca="1" si="22"/>
        <v/>
      </c>
      <c r="X92" s="199" t="str">
        <f>LineBreak</f>
        <v xml:space="preserve"> 
</v>
      </c>
      <c r="Y92" s="223" t="b">
        <v>1</v>
      </c>
      <c r="Z92" s="231" t="str">
        <f t="shared" si="23"/>
        <v xml:space="preserve"> 
</v>
      </c>
      <c r="AA92" s="228"/>
      <c r="AB92" s="2"/>
    </row>
    <row r="93" spans="1:29" s="11" customFormat="1" ht="13.5" thickBot="1" x14ac:dyDescent="0.35">
      <c r="A93" s="391"/>
      <c r="B93" s="37"/>
      <c r="C93" s="43"/>
      <c r="D93" s="43"/>
      <c r="F93" s="14"/>
      <c r="G93" s="14"/>
      <c r="H93" s="14"/>
      <c r="I93" s="14"/>
      <c r="M93"/>
      <c r="O93" s="325"/>
      <c r="Q93" s="2"/>
      <c r="R93" s="2"/>
      <c r="S93" s="2"/>
      <c r="T93" s="2"/>
      <c r="U93" s="2"/>
      <c r="V93" s="198"/>
      <c r="W93" s="198" t="str">
        <f t="shared" ca="1" si="22"/>
        <v/>
      </c>
      <c r="X93" s="199"/>
      <c r="Y93" s="223"/>
      <c r="Z93" s="231" t="str">
        <f t="shared" si="23"/>
        <v/>
      </c>
      <c r="AA93" s="228"/>
      <c r="AB93" s="2"/>
    </row>
    <row r="94" spans="1:29" s="35" customFormat="1" ht="27" customHeight="1" thickBot="1" x14ac:dyDescent="0.35">
      <c r="A94" s="81">
        <v>3.13</v>
      </c>
      <c r="B94" s="64" t="s">
        <v>960</v>
      </c>
      <c r="C94" s="346"/>
      <c r="D94" s="492" t="s">
        <v>277</v>
      </c>
      <c r="E94" s="492"/>
      <c r="F94" s="45"/>
      <c r="G94" s="45"/>
      <c r="H94" s="45"/>
      <c r="I94" s="45"/>
      <c r="M94"/>
      <c r="O94" s="328"/>
      <c r="Q94" s="2"/>
      <c r="R94" s="2"/>
      <c r="S94" s="2"/>
      <c r="T94" s="2"/>
      <c r="U94" s="2"/>
      <c r="V94" s="198" t="s">
        <v>278</v>
      </c>
      <c r="W94" s="198">
        <f t="shared" ca="1" si="22"/>
        <v>1</v>
      </c>
      <c r="X94" s="199" t="str">
        <f>LineBreak&amp;LineBreak&amp;Indent&amp;"3:13 Cost improvements:  Did you spend less?    Enter 1 or 0 "</f>
        <v xml:space="preserve"> 
                 3:13 Cost improvements:  Did you spend less?    Enter 1 or 0 </v>
      </c>
      <c r="Y94" s="227" t="b">
        <f ca="1">AND(AND(P79,S79,W79)=FALSE,INDIRECT(V94)="")</f>
        <v>0</v>
      </c>
      <c r="Z94" s="231" t="str">
        <f t="shared" ca="1" si="23"/>
        <v/>
      </c>
      <c r="AA94" s="228"/>
      <c r="AB94" s="2"/>
      <c r="AC94" s="11"/>
    </row>
    <row r="95" spans="1:29" s="35" customFormat="1" ht="12.75" customHeight="1" thickBot="1" x14ac:dyDescent="0.35">
      <c r="C95" s="44"/>
      <c r="D95" s="44"/>
      <c r="F95" s="45"/>
      <c r="G95" s="45"/>
      <c r="H95" s="45"/>
      <c r="I95" s="45"/>
      <c r="M95"/>
      <c r="O95" s="328"/>
      <c r="Q95" s="2"/>
      <c r="R95" s="2"/>
      <c r="S95" s="2"/>
      <c r="T95" s="313" t="s">
        <v>279</v>
      </c>
      <c r="U95" s="224" t="str">
        <f ca="1">IF(SUM(W97,W100:W101,W104,W107)=0,Finished,
IF(SUM(W97,W100:W101,W104,W107)=5,NotStarted,Started))</f>
        <v xml:space="preserve">       &lt; Not Started &gt;</v>
      </c>
      <c r="V95" s="198"/>
      <c r="W95" s="198"/>
      <c r="X95" s="199" t="str">
        <f ca="1">LineBreak &amp; "4 - 7          L O A N S      S E C T I O N S        "&amp;U95</f>
        <v xml:space="preserve"> 
4 - 7          L O A N S      S E C T I O N S               &lt; Not Started &gt;</v>
      </c>
      <c r="Y95" s="223" t="b">
        <v>1</v>
      </c>
      <c r="Z95" s="231" t="str">
        <f t="shared" ca="1" si="23"/>
        <v xml:space="preserve"> 
4 - 7          L O A N S      S E C T I O N S               &lt; Not Started &gt;</v>
      </c>
      <c r="AA95" s="228"/>
      <c r="AB95" s="2"/>
    </row>
    <row r="96" spans="1:29" s="11" customFormat="1" ht="13.5" customHeight="1" thickBot="1" x14ac:dyDescent="0.35">
      <c r="A96" s="22" t="s">
        <v>280</v>
      </c>
      <c r="B96" s="30" t="s">
        <v>281</v>
      </c>
      <c r="C96" s="121" t="s">
        <v>282</v>
      </c>
      <c r="D96" s="492" t="s">
        <v>283</v>
      </c>
      <c r="E96" s="492"/>
      <c r="F96" s="450" t="s">
        <v>105</v>
      </c>
      <c r="G96" s="451"/>
      <c r="H96" s="451"/>
      <c r="I96" s="451"/>
      <c r="J96" s="451"/>
      <c r="K96" s="451"/>
      <c r="L96" s="452"/>
      <c r="M96"/>
      <c r="O96" s="325"/>
      <c r="Q96" s="2"/>
      <c r="R96" s="2"/>
      <c r="S96" s="2"/>
      <c r="T96" s="301" t="s">
        <v>17</v>
      </c>
      <c r="U96" s="224" t="str">
        <f ca="1">IF(W97=0,Finished,NotStarted)</f>
        <v xml:space="preserve">       &lt; Not Started &gt;</v>
      </c>
      <c r="V96" s="198"/>
      <c r="W96" s="198" t="str">
        <f t="shared" ca="1" si="22"/>
        <v/>
      </c>
      <c r="X96" s="199" t="str">
        <f ca="1">LineBreak&amp;A96&amp;"  "&amp;LEFT(B96,60)&amp;U96</f>
        <v xml:space="preserve"> 
4  LOANS FROM STOCK       &lt; Not Started &gt;</v>
      </c>
      <c r="Y96" s="223" t="b">
        <f ca="1">$U$95=Started</f>
        <v>0</v>
      </c>
      <c r="Z96" s="231" t="str">
        <f t="shared" ca="1" si="23"/>
        <v/>
      </c>
      <c r="AA96" s="228"/>
      <c r="AB96" s="2"/>
      <c r="AC96" s="35"/>
    </row>
    <row r="97" spans="1:46" s="11" customFormat="1" ht="13.5" thickBot="1" x14ac:dyDescent="0.35">
      <c r="A97" s="10">
        <v>4.0999999999999996</v>
      </c>
      <c r="B97" s="11" t="s">
        <v>284</v>
      </c>
      <c r="C97" s="148"/>
      <c r="D97" s="118"/>
      <c r="F97" s="479"/>
      <c r="G97" s="480"/>
      <c r="H97" s="480"/>
      <c r="I97" s="480"/>
      <c r="J97" s="480"/>
      <c r="K97" s="480"/>
      <c r="L97" s="481"/>
      <c r="M97"/>
      <c r="O97" s="325" t="str">
        <f ca="1">U95</f>
        <v xml:space="preserve">       &lt; Not Started &gt;</v>
      </c>
      <c r="Q97" s="2"/>
      <c r="R97" s="2"/>
      <c r="S97" s="2"/>
      <c r="T97" s="2"/>
      <c r="U97" s="2"/>
      <c r="V97" s="198" t="s">
        <v>285</v>
      </c>
      <c r="W97" s="244">
        <f ca="1">IF( ISERROR(IF(OR(INDIRECT(V97)=" ",INDIRECT(V97)=""),1,0)),"",IF(OR(INDIRECT(V97)=0,INDIRECT(V97)=""),1,0))</f>
        <v>1</v>
      </c>
      <c r="X97" s="199" t="str">
        <f>LineBreak &amp;Indent&amp;A97&amp;"      No "&amp;B97&amp;"?  Enter 0 if this is true"</f>
        <v xml:space="preserve"> 
                 4.1      No Loans to other libraries?  Enter 0 if this is true</v>
      </c>
      <c r="Y97" s="224" t="b">
        <f ca="1">AND($U$95=Started,W97=1)</f>
        <v>0</v>
      </c>
      <c r="Z97" s="231" t="str">
        <f t="shared" ca="1" si="23"/>
        <v/>
      </c>
      <c r="AA97" s="228" t="s">
        <v>23</v>
      </c>
      <c r="AB97" s="2"/>
    </row>
    <row r="98" spans="1:46" s="11" customFormat="1" ht="13.5" thickBot="1" x14ac:dyDescent="0.35">
      <c r="A98" s="10"/>
      <c r="C98" s="31"/>
      <c r="I98" s="10"/>
      <c r="M98"/>
      <c r="O98" s="325" t="str">
        <f ca="1">U96</f>
        <v xml:space="preserve">       &lt; Not Started &gt;</v>
      </c>
      <c r="Q98" s="2"/>
      <c r="R98" s="2"/>
      <c r="S98" s="2"/>
      <c r="T98" s="2"/>
      <c r="U98" s="2"/>
      <c r="V98" s="198"/>
      <c r="W98" s="198"/>
      <c r="X98" s="312" t="str">
        <f>LineBreak</f>
        <v xml:space="preserve"> 
</v>
      </c>
      <c r="Y98" s="224" t="b">
        <f ca="1">OR(U95=Started,U96=Finished)</f>
        <v>0</v>
      </c>
      <c r="Z98" s="231" t="str">
        <f t="shared" ca="1" si="23"/>
        <v/>
      </c>
      <c r="AA98" s="228" t="s">
        <v>23</v>
      </c>
      <c r="AB98" s="2"/>
    </row>
    <row r="99" spans="1:46" s="11" customFormat="1" ht="37.5" customHeight="1" thickBot="1" x14ac:dyDescent="0.35">
      <c r="A99" s="133" t="s">
        <v>286</v>
      </c>
      <c r="B99" s="49" t="s">
        <v>287</v>
      </c>
      <c r="C99" s="120" t="s">
        <v>288</v>
      </c>
      <c r="D99" s="492" t="s">
        <v>283</v>
      </c>
      <c r="E99" s="492"/>
      <c r="F99" s="459" t="s">
        <v>105</v>
      </c>
      <c r="G99" s="478"/>
      <c r="H99" s="478"/>
      <c r="I99" s="478"/>
      <c r="J99" s="478"/>
      <c r="K99" s="478"/>
      <c r="L99" s="460"/>
      <c r="M99"/>
      <c r="O99" s="325"/>
      <c r="Q99" s="2"/>
      <c r="R99" s="2"/>
      <c r="S99" s="2"/>
      <c r="T99" s="301" t="s">
        <v>17</v>
      </c>
      <c r="U99" s="224" t="str">
        <f ca="1">IF(W100+W101=0,Finished,IF(W100+W101=1,Started,NotStarted))</f>
        <v xml:space="preserve">       &lt; Not Started &gt;</v>
      </c>
      <c r="V99" s="198" t="s">
        <v>289</v>
      </c>
      <c r="W99" s="198">
        <f t="shared" ca="1" si="22"/>
        <v>0</v>
      </c>
      <c r="X99" s="199" t="str">
        <f ca="1">LineBreak&amp;A99&amp;"  "&amp;LEFT(B99,60)&amp;U99</f>
        <v xml:space="preserve"> 
5   COPIES OF ARTICLES, E-BOOK CHAPTER DOWNLOADS etc. SUPPLIED         &lt; Not Started &gt;</v>
      </c>
      <c r="Y99" s="223" t="b">
        <f ca="1">$U$95=Started</f>
        <v>0</v>
      </c>
      <c r="Z99" s="231" t="str">
        <f t="shared" ca="1" si="23"/>
        <v/>
      </c>
      <c r="AA99" s="228"/>
      <c r="AB99" s="2"/>
    </row>
    <row r="100" spans="1:46" s="11" customFormat="1" x14ac:dyDescent="0.3">
      <c r="A100" s="10">
        <v>5.0999999999999996</v>
      </c>
      <c r="B100" s="11" t="s">
        <v>290</v>
      </c>
      <c r="C100" s="65"/>
      <c r="D100" s="118"/>
      <c r="E100" s="38"/>
      <c r="F100" s="493"/>
      <c r="G100" s="494"/>
      <c r="H100" s="494"/>
      <c r="I100" s="494"/>
      <c r="J100" s="494"/>
      <c r="K100" s="494"/>
      <c r="L100" s="495"/>
      <c r="M100"/>
      <c r="O100" s="325" t="str">
        <f ca="1">U99</f>
        <v xml:space="preserve">       &lt; Not Started &gt;</v>
      </c>
      <c r="Q100" s="2"/>
      <c r="R100" s="2"/>
      <c r="S100" s="2"/>
      <c r="T100" s="2"/>
      <c r="U100" s="2"/>
      <c r="V100" s="198" t="s">
        <v>291</v>
      </c>
      <c r="W100" s="244">
        <f t="shared" ca="1" si="22"/>
        <v>1</v>
      </c>
      <c r="X100" s="199" t="str">
        <f ca="1">IF(HLOOKUP(V100,TblAnnualStatsComments,18,FALSE)="","",LineBreak&amp;Indent&amp;HLOOKUP(V100,TblAnnualStatsComments,18,FALSE))</f>
        <v/>
      </c>
      <c r="Y100" s="224" t="b">
        <f ca="1">AND($U$95=Started,W100=1)</f>
        <v>0</v>
      </c>
      <c r="Z100" s="231" t="str">
        <f t="shared" ca="1" si="23"/>
        <v/>
      </c>
      <c r="AA100" s="228"/>
      <c r="AB100" s="2"/>
    </row>
    <row r="101" spans="1:46" s="11" customFormat="1" ht="13.5" thickBot="1" x14ac:dyDescent="0.35">
      <c r="A101" s="10">
        <v>5.2</v>
      </c>
      <c r="B101" s="11" t="s">
        <v>292</v>
      </c>
      <c r="C101" s="66"/>
      <c r="D101" s="118"/>
      <c r="E101" s="38"/>
      <c r="F101" s="485"/>
      <c r="G101" s="486"/>
      <c r="H101" s="486"/>
      <c r="I101" s="486"/>
      <c r="J101" s="486"/>
      <c r="K101" s="486"/>
      <c r="L101" s="487"/>
      <c r="M101"/>
      <c r="O101" s="325"/>
      <c r="Q101" s="2"/>
      <c r="R101" s="2"/>
      <c r="S101" s="2"/>
      <c r="T101" s="2"/>
      <c r="U101" s="2"/>
      <c r="V101" s="198" t="s">
        <v>293</v>
      </c>
      <c r="W101" s="244">
        <f t="shared" ca="1" si="22"/>
        <v>1</v>
      </c>
      <c r="X101" s="199" t="str">
        <f ca="1">IF(HLOOKUP(V101,TblAnnualStatsComments,18,FALSE)="","",LineBreak&amp;Indent&amp;HLOOKUP(V101,TblAnnualStatsComments,18,FALSE))</f>
        <v/>
      </c>
      <c r="Y101" s="224" t="b">
        <f ca="1">AND($U$95=Started,W101=1)</f>
        <v>0</v>
      </c>
      <c r="Z101" s="231" t="str">
        <f t="shared" ca="1" si="23"/>
        <v/>
      </c>
      <c r="AA101" s="228"/>
      <c r="AB101" s="2"/>
    </row>
    <row r="102" spans="1:46" s="11" customFormat="1" ht="13.5" thickBot="1" x14ac:dyDescent="0.35">
      <c r="A102" s="10"/>
      <c r="D102" s="38"/>
      <c r="E102" s="38"/>
      <c r="M102"/>
      <c r="O102" s="325"/>
      <c r="Q102" s="2"/>
      <c r="R102" s="2"/>
      <c r="S102" s="2"/>
      <c r="T102" s="2"/>
      <c r="U102" s="2"/>
      <c r="V102" s="198" t="s">
        <v>294</v>
      </c>
      <c r="W102" s="198">
        <f ca="1">IF(LEN(OFFSET(INDIRECT(V102),1,0))&gt;1,1,0)</f>
        <v>1</v>
      </c>
      <c r="X102" s="312" t="str">
        <f>LineBreak</f>
        <v xml:space="preserve"> 
</v>
      </c>
      <c r="Y102" s="224" t="b">
        <f ca="1">AND(U95=Started,U99=Started)</f>
        <v>0</v>
      </c>
      <c r="Z102" s="231" t="str">
        <f t="shared" ca="1" si="23"/>
        <v/>
      </c>
      <c r="AA102" s="228"/>
      <c r="AB102" s="2"/>
    </row>
    <row r="103" spans="1:46" s="11" customFormat="1" ht="21.75" customHeight="1" thickBot="1" x14ac:dyDescent="0.35">
      <c r="A103" s="22" t="s">
        <v>295</v>
      </c>
      <c r="B103" s="114" t="s">
        <v>296</v>
      </c>
      <c r="C103" s="121" t="s">
        <v>282</v>
      </c>
      <c r="D103" s="492" t="s">
        <v>283</v>
      </c>
      <c r="E103" s="492"/>
      <c r="F103" s="450" t="s">
        <v>105</v>
      </c>
      <c r="G103" s="451"/>
      <c r="H103" s="451"/>
      <c r="I103" s="451"/>
      <c r="J103" s="451"/>
      <c r="K103" s="451"/>
      <c r="L103" s="452"/>
      <c r="M103"/>
      <c r="O103" s="325"/>
      <c r="Q103" s="2"/>
      <c r="R103" s="2"/>
      <c r="S103" s="2"/>
      <c r="T103" s="301" t="s">
        <v>17</v>
      </c>
      <c r="U103" s="224" t="str">
        <f ca="1">IF(W104=0,Finished,NotStarted)</f>
        <v xml:space="preserve">       &lt; Not Started &gt;</v>
      </c>
      <c r="V103" s="198" t="s">
        <v>297</v>
      </c>
      <c r="W103" s="198">
        <f ca="1">IF( ISERROR(IF(OR(INDIRECT(V103)=0,INDIRECT(V103)=""),1,0)),"",IF(OR(INDIRECT(V103)=0,INDIRECT(V103)=""),1,0))</f>
        <v>0</v>
      </c>
      <c r="X103" s="199" t="str">
        <f ca="1">LineBreak&amp;LineBreak&amp;A103&amp;"  "&amp;LEFT(B103,60)&amp;U103</f>
        <v xml:space="preserve"> 
6  LOANS RECEIVED FROM OTHER LIBRARIES (PHYSICAL ITEMS)       &lt; Not Started &gt;</v>
      </c>
      <c r="Y103" s="223" t="b">
        <f ca="1">$U$95=Started</f>
        <v>0</v>
      </c>
      <c r="Z103" s="231" t="str">
        <f t="shared" ca="1" si="23"/>
        <v/>
      </c>
      <c r="AA103" s="228"/>
      <c r="AB103" s="2"/>
    </row>
    <row r="104" spans="1:46" s="11" customFormat="1" ht="13.5" thickBot="1" x14ac:dyDescent="0.35">
      <c r="A104" s="10">
        <v>6.1</v>
      </c>
      <c r="B104" s="11" t="s">
        <v>298</v>
      </c>
      <c r="C104" s="148">
        <v>0</v>
      </c>
      <c r="D104" s="118"/>
      <c r="F104" s="479"/>
      <c r="G104" s="480"/>
      <c r="H104" s="480"/>
      <c r="I104" s="480"/>
      <c r="J104" s="480"/>
      <c r="K104" s="480"/>
      <c r="L104" s="481"/>
      <c r="M104"/>
      <c r="O104" s="325" t="str">
        <f ca="1">U103</f>
        <v xml:space="preserve">       &lt; Not Started &gt;</v>
      </c>
      <c r="Q104" s="2"/>
      <c r="R104" s="2"/>
      <c r="S104" s="2"/>
      <c r="T104" s="2"/>
      <c r="U104" s="2"/>
      <c r="V104" s="198" t="s">
        <v>299</v>
      </c>
      <c r="W104" s="244">
        <f t="shared" ref="W104" ca="1" si="34">IF( ISERROR(IF(OR(INDIRECT(V104)=0,INDIRECT(V104)=""),1,0)),"",IF(OR(INDIRECT(V104)=0,INDIRECT(V104)=""),1,0))</f>
        <v>1</v>
      </c>
      <c r="X104" s="199" t="str">
        <f ca="1">IF(HLOOKUP(V104,TblAnnualStatsComments,18,FALSE)="","",LineBreak&amp;Indent&amp;HLOOKUP(V104,TblAnnualStatsComments,18,FALSE))</f>
        <v/>
      </c>
      <c r="Y104" s="224" t="b">
        <f ca="1">AND($U$95=Started,W104=1)</f>
        <v>0</v>
      </c>
      <c r="Z104" s="231" t="str">
        <f t="shared" ca="1" si="23"/>
        <v/>
      </c>
      <c r="AA104" s="228"/>
      <c r="AB104" s="2"/>
    </row>
    <row r="105" spans="1:46" s="11" customFormat="1" ht="13.5" thickBot="1" x14ac:dyDescent="0.35">
      <c r="A105" s="10"/>
      <c r="B105" s="10"/>
      <c r="D105" s="38"/>
      <c r="E105" s="38"/>
      <c r="M105"/>
      <c r="O105" s="325"/>
      <c r="Q105" s="2"/>
      <c r="R105" s="2"/>
      <c r="S105" s="2"/>
      <c r="T105" s="2"/>
      <c r="U105" s="2"/>
      <c r="V105" s="198" t="s">
        <v>300</v>
      </c>
      <c r="W105" s="198">
        <f ca="1">IF( ISERROR(IF(OR(INDIRECT(V105)=0,INDIRECT(V105)=""),1,0)),"",IF(OR(INDIRECT(V105)=0,INDIRECT(V105)=""),1,0))</f>
        <v>1</v>
      </c>
      <c r="X105" s="199"/>
      <c r="Y105" s="224"/>
      <c r="Z105" s="231" t="str">
        <f t="shared" si="23"/>
        <v/>
      </c>
      <c r="AA105" s="228"/>
      <c r="AB105" s="2"/>
    </row>
    <row r="106" spans="1:46" s="11" customFormat="1" ht="36.75" customHeight="1" thickBot="1" x14ac:dyDescent="0.35">
      <c r="A106" s="22" t="s">
        <v>301</v>
      </c>
      <c r="B106" s="49" t="s">
        <v>302</v>
      </c>
      <c r="C106" s="120" t="s">
        <v>303</v>
      </c>
      <c r="D106" s="492" t="s">
        <v>283</v>
      </c>
      <c r="E106" s="492"/>
      <c r="F106" s="450" t="s">
        <v>105</v>
      </c>
      <c r="G106" s="451"/>
      <c r="H106" s="451"/>
      <c r="I106" s="451"/>
      <c r="J106" s="451"/>
      <c r="K106" s="451"/>
      <c r="L106" s="452"/>
      <c r="M106"/>
      <c r="O106" s="325"/>
      <c r="Q106" s="2"/>
      <c r="R106" s="2"/>
      <c r="S106" s="2"/>
      <c r="T106" s="301" t="s">
        <v>17</v>
      </c>
      <c r="U106" s="224" t="str">
        <f ca="1">IF(W107=0,Finished,NotStarted)</f>
        <v xml:space="preserve">       &lt; Not Started &gt;</v>
      </c>
      <c r="V106" s="198" t="s">
        <v>304</v>
      </c>
      <c r="W106" s="198">
        <f ca="1">IF(LEN(OFFSET(INDIRECT(V106),1,0))&gt;1,1,0)</f>
        <v>0</v>
      </c>
      <c r="X106" s="199" t="str">
        <f ca="1">LineBreak&amp;LineBreak&amp;A106&amp;"  "&amp;LEFT(B106,60)&amp;U106</f>
        <v xml:space="preserve"> 
7  COPIES OF ARTICLES, DOWNLOADS etc.  SUPPLIED BY OTHER LIBRAR       &lt; Not Started &gt;</v>
      </c>
      <c r="Y106" s="223" t="b">
        <f ca="1">$U$95=Started</f>
        <v>0</v>
      </c>
      <c r="Z106" s="231" t="str">
        <f t="shared" ca="1" si="23"/>
        <v/>
      </c>
      <c r="AA106" s="228"/>
      <c r="AB106" s="2"/>
      <c r="AE106" s="11" t="s">
        <v>305</v>
      </c>
    </row>
    <row r="107" spans="1:46" s="11" customFormat="1" ht="13.5" thickBot="1" x14ac:dyDescent="0.35">
      <c r="A107" s="10">
        <v>7.1</v>
      </c>
      <c r="B107" s="11" t="s">
        <v>306</v>
      </c>
      <c r="C107" s="148"/>
      <c r="D107" s="118"/>
      <c r="F107" s="479"/>
      <c r="G107" s="480"/>
      <c r="H107" s="480"/>
      <c r="I107" s="480"/>
      <c r="J107" s="480"/>
      <c r="K107" s="480"/>
      <c r="L107" s="481"/>
      <c r="M107"/>
      <c r="O107" s="325" t="str">
        <f ca="1">U106</f>
        <v xml:space="preserve">       &lt; Not Started &gt;</v>
      </c>
      <c r="Q107" s="2"/>
      <c r="R107" s="2"/>
      <c r="S107" s="2"/>
      <c r="T107" s="2"/>
      <c r="U107" s="2"/>
      <c r="V107" s="198" t="s">
        <v>307</v>
      </c>
      <c r="W107" s="244">
        <f t="shared" ref="W107" ca="1" si="35">IF( ISERROR(IF(OR(INDIRECT(V107)=0,INDIRECT(V107)=""),1,0)),"",IF(OR(INDIRECT(V107)=0,INDIRECT(V107)=""),1,0))</f>
        <v>1</v>
      </c>
      <c r="X107" s="199" t="str">
        <f ca="1">IF(HLOOKUP(V107,TblAnnualStatsComments,18,FALSE)="","",LineBreak&amp;Indent&amp;HLOOKUP(V107,TblAnnualStatsComments,18,FALSE))</f>
        <v/>
      </c>
      <c r="Y107" s="224" t="b">
        <f ca="1">AND($U$95=Started,W107=1)</f>
        <v>0</v>
      </c>
      <c r="Z107" s="231" t="str">
        <f t="shared" ca="1" si="23"/>
        <v/>
      </c>
      <c r="AA107" s="228"/>
      <c r="AB107" s="2"/>
    </row>
    <row r="108" spans="1:46" s="11" customFormat="1" ht="13.5" thickBot="1" x14ac:dyDescent="0.35">
      <c r="A108" s="10"/>
      <c r="C108" s="38"/>
      <c r="M108"/>
      <c r="O108" s="325"/>
      <c r="Q108" s="2"/>
      <c r="R108" s="2"/>
      <c r="S108" s="2"/>
      <c r="T108" s="2"/>
      <c r="U108" s="2"/>
      <c r="V108" s="198" t="s">
        <v>308</v>
      </c>
      <c r="W108" s="198">
        <f ca="1">IF(LEN(OFFSET(INDIRECT(V108),1,0))&gt;1,1,0)</f>
        <v>0</v>
      </c>
      <c r="X108" s="199"/>
      <c r="Y108" s="224"/>
      <c r="Z108" s="231" t="str">
        <f t="shared" si="23"/>
        <v/>
      </c>
      <c r="AA108" s="228"/>
      <c r="AB108" s="2"/>
    </row>
    <row r="109" spans="1:46" s="11" customFormat="1" ht="13.5" customHeight="1" x14ac:dyDescent="0.3">
      <c r="A109" s="22" t="s">
        <v>309</v>
      </c>
      <c r="B109" s="435" t="s">
        <v>310</v>
      </c>
      <c r="D109" s="424"/>
      <c r="M109"/>
      <c r="O109" s="325"/>
      <c r="Q109" s="2"/>
      <c r="R109" s="2"/>
      <c r="S109" s="2"/>
      <c r="T109" s="301" t="s">
        <v>17</v>
      </c>
      <c r="U109" s="224" t="str">
        <f>IF(U111+U117=0,NotStarted,
IF(U111+U117=6,Finished,Started))</f>
        <v xml:space="preserve">       &lt; Not Started &gt;</v>
      </c>
      <c r="V109" s="198" t="s">
        <v>311</v>
      </c>
      <c r="W109" s="198">
        <f t="shared" ref="W109:W127" ca="1" si="36">IF(LEN(OFFSET(INDIRECT(V109),1,0))&gt;1,1,0)</f>
        <v>0</v>
      </c>
      <c r="X109" s="199" t="str">
        <f>LineBreak&amp;LineBreak&amp;A109&amp;"  "&amp;LEFT(B109,60)&amp;U109</f>
        <v xml:space="preserve"> 
8  KNOWLEDGE MOBILISATION AND INFORMATION CONSULTANCY SERVICES        &lt; Not Started &gt;</v>
      </c>
      <c r="Y109" s="224" t="b">
        <v>1</v>
      </c>
      <c r="Z109" s="231" t="str">
        <f t="shared" si="23"/>
        <v xml:space="preserve"> 
8  KNOWLEDGE MOBILISATION AND INFORMATION CONSULTANCY SERVICES        &lt; Not Started &gt;</v>
      </c>
      <c r="AA109" s="228"/>
      <c r="AB109" s="2"/>
      <c r="AE109" s="249" t="s">
        <v>312</v>
      </c>
      <c r="AF109" s="257">
        <v>17</v>
      </c>
      <c r="AG109" s="258">
        <v>10</v>
      </c>
      <c r="AH109" s="258">
        <v>10</v>
      </c>
      <c r="AI109" s="258">
        <v>10</v>
      </c>
      <c r="AJ109" s="258">
        <v>10</v>
      </c>
      <c r="AK109" s="258">
        <v>1</v>
      </c>
      <c r="AL109" s="258">
        <v>1</v>
      </c>
      <c r="AM109" s="258">
        <v>1</v>
      </c>
      <c r="AN109" s="258">
        <v>1</v>
      </c>
      <c r="AO109" s="258">
        <v>1</v>
      </c>
      <c r="AP109" s="258">
        <v>1</v>
      </c>
      <c r="AQ109" s="258">
        <v>10</v>
      </c>
      <c r="AR109" s="258">
        <v>10</v>
      </c>
      <c r="AS109" s="258">
        <v>10</v>
      </c>
      <c r="AT109" s="259">
        <v>1</v>
      </c>
    </row>
    <row r="110" spans="1:46" s="11" customFormat="1" ht="26.25" customHeight="1" thickBot="1" x14ac:dyDescent="0.35">
      <c r="A110" s="492" t="s">
        <v>313</v>
      </c>
      <c r="B110" s="492"/>
      <c r="C110" s="492"/>
      <c r="D110" s="492"/>
      <c r="E110" s="390"/>
      <c r="F110"/>
      <c r="G110"/>
      <c r="H110"/>
      <c r="I110"/>
      <c r="M110"/>
      <c r="O110" s="325" t="str">
        <f>U109</f>
        <v xml:space="preserve">       &lt; Not Started &gt;</v>
      </c>
      <c r="Q110" s="2"/>
      <c r="R110" s="2"/>
      <c r="S110" s="2"/>
      <c r="T110" s="2"/>
      <c r="U110" s="2"/>
      <c r="V110" s="198" t="s">
        <v>314</v>
      </c>
      <c r="W110" s="198">
        <f t="shared" ca="1" si="36"/>
        <v>1</v>
      </c>
      <c r="X110" s="199"/>
      <c r="Y110" s="223"/>
      <c r="Z110" s="231" t="str">
        <f t="shared" si="23"/>
        <v/>
      </c>
      <c r="AA110" s="228"/>
      <c r="AB110" s="2"/>
      <c r="AE110" s="249" t="s">
        <v>315</v>
      </c>
      <c r="AF110" s="279">
        <v>25</v>
      </c>
      <c r="AG110" s="280">
        <v>30</v>
      </c>
      <c r="AH110" s="280">
        <v>30</v>
      </c>
      <c r="AI110" s="280">
        <v>30</v>
      </c>
      <c r="AJ110" s="280">
        <v>30</v>
      </c>
      <c r="AK110" s="280">
        <v>30</v>
      </c>
      <c r="AL110" s="280">
        <v>30</v>
      </c>
      <c r="AM110" s="280">
        <v>30</v>
      </c>
      <c r="AN110" s="280">
        <v>30</v>
      </c>
      <c r="AO110" s="280">
        <v>18</v>
      </c>
      <c r="AP110" s="280">
        <v>33</v>
      </c>
      <c r="AQ110" s="280">
        <v>30</v>
      </c>
      <c r="AR110" s="280">
        <v>30</v>
      </c>
      <c r="AS110" s="280">
        <v>24</v>
      </c>
      <c r="AT110" s="281">
        <v>30</v>
      </c>
    </row>
    <row r="111" spans="1:46" s="11" customFormat="1" ht="36" customHeight="1" x14ac:dyDescent="0.3">
      <c r="A111" s="500" t="s">
        <v>316</v>
      </c>
      <c r="B111" s="500"/>
      <c r="C111" s="122" t="s">
        <v>317</v>
      </c>
      <c r="D111" s="423"/>
      <c r="E111" s="553" t="s">
        <v>318</v>
      </c>
      <c r="F111" s="553"/>
      <c r="G111" s="553"/>
      <c r="H111" s="553"/>
      <c r="I111" s="553"/>
      <c r="J111"/>
      <c r="M111"/>
      <c r="O111" s="325"/>
      <c r="Q111" s="2"/>
      <c r="R111" s="2"/>
      <c r="S111" s="2"/>
      <c r="T111" s="2"/>
      <c r="U111" s="290">
        <f>COUNTIF(C112:C115,"&gt;=0")</f>
        <v>0</v>
      </c>
      <c r="V111" s="198" t="s">
        <v>319</v>
      </c>
      <c r="W111" s="198">
        <f t="shared" ca="1" si="36"/>
        <v>0</v>
      </c>
      <c r="X111" s="199" t="str">
        <f>IF(AND($U$109=Started,U111&lt;&gt;3),LineBreak&amp;LineBreak&amp;"    "&amp;LEFT(A111,60),"")</f>
        <v/>
      </c>
      <c r="Y111" s="234" t="b">
        <v>1</v>
      </c>
      <c r="Z111" s="235" t="str">
        <f xml:space="preserve"> IF(Y111,X111&amp;IF(AA111&lt;&gt;"",IF(V111&lt;&gt;"", "  ("&amp;V111&amp;")  - ",""),""),"")</f>
        <v/>
      </c>
      <c r="AA111" s="228"/>
      <c r="AB111" s="2"/>
      <c r="AF111" s="255" t="s">
        <v>320</v>
      </c>
      <c r="AG111"/>
      <c r="AH111"/>
      <c r="AI111" s="256" t="s">
        <v>321</v>
      </c>
      <c r="AJ111"/>
      <c r="AK111"/>
      <c r="AL111"/>
      <c r="AM111"/>
      <c r="AN111"/>
      <c r="AO111"/>
      <c r="AP111"/>
      <c r="AQ111"/>
      <c r="AR111"/>
      <c r="AS111"/>
      <c r="AT111"/>
    </row>
    <row r="112" spans="1:46" s="11" customFormat="1" ht="12.75" customHeight="1" thickBot="1" x14ac:dyDescent="0.35">
      <c r="A112" s="350">
        <v>8.1</v>
      </c>
      <c r="B112" s="110" t="s">
        <v>322</v>
      </c>
      <c r="C112" s="65"/>
      <c r="E112" s="553"/>
      <c r="F112" s="553"/>
      <c r="G112" s="553"/>
      <c r="H112" s="553"/>
      <c r="I112" s="553"/>
      <c r="J112"/>
      <c r="M112"/>
      <c r="O112" s="325"/>
      <c r="Q112" s="2"/>
      <c r="R112" s="2"/>
      <c r="S112" s="2"/>
      <c r="T112" s="2"/>
      <c r="U112" s="2"/>
      <c r="V112" s="198" t="s">
        <v>323</v>
      </c>
      <c r="W112" s="244">
        <f ca="1">IF( ISERROR(IF(OR(INDIRECT(V112)=0,INDIRECT(V112)=""),1,0)),"",IF(INDIRECT(V112)="",1,0))</f>
        <v>1</v>
      </c>
      <c r="X112" s="199" t="str">
        <f>LineBreak&amp;Indent&amp;A112&amp;"               "&amp;SUBSTITUTE(B112,"Do","Don't")&amp;"……  Enter 0 if this is true"</f>
        <v xml:space="preserve"> 
                 8.1               Don't you offer a mediated searching service?……  Enter 0 if this is true</v>
      </c>
      <c r="Y112" s="224" t="b">
        <f>AND($U$109&lt;&gt;NotStarted,$U$109&lt;&gt;Finished)</f>
        <v>0</v>
      </c>
      <c r="Z112" s="231" t="str">
        <f t="shared" si="23"/>
        <v/>
      </c>
      <c r="AA112" s="228"/>
      <c r="AB112" s="14"/>
      <c r="AF112" s="14" t="str">
        <f ca="1">OFFSET(INDIRECT(AF113),0,-2)</f>
        <v>Information Consultancy Service take-up (click on number hyperlink for guidance)</v>
      </c>
      <c r="AG112" s="14" t="str">
        <f t="shared" ref="AG112:AT112" ca="1" si="37">OFFSET(INDIRECT(AG113),0,-2)</f>
        <v>8.5a</v>
      </c>
      <c r="AH112" s="14" t="str">
        <f t="shared" ca="1" si="37"/>
        <v>8.5b</v>
      </c>
      <c r="AI112" s="14">
        <f t="shared" ca="1" si="37"/>
        <v>0</v>
      </c>
      <c r="AJ112" s="14" t="str">
        <f t="shared" ca="1" si="37"/>
        <v>9</v>
      </c>
      <c r="AK112" s="14" t="str">
        <f t="shared" ca="1" si="37"/>
        <v>9.3e</v>
      </c>
      <c r="AL112" s="14">
        <f t="shared" ca="1" si="37"/>
        <v>6.1</v>
      </c>
      <c r="AM112" s="14">
        <f t="shared" ca="1" si="37"/>
        <v>5.0999999999999996</v>
      </c>
      <c r="AN112" s="14">
        <f t="shared" ca="1" si="37"/>
        <v>5.2</v>
      </c>
      <c r="AO112" s="14">
        <f t="shared" ca="1" si="37"/>
        <v>7.1</v>
      </c>
      <c r="AP112" s="14" t="e">
        <f t="shared" ca="1" si="37"/>
        <v>#REF!</v>
      </c>
      <c r="AQ112" s="14" t="e">
        <f t="shared" ca="1" si="37"/>
        <v>#REF!</v>
      </c>
      <c r="AR112" s="14" t="e">
        <f t="shared" ca="1" si="37"/>
        <v>#REF!</v>
      </c>
      <c r="AS112" s="14" t="e">
        <f t="shared" ca="1" si="37"/>
        <v>#REF!</v>
      </c>
      <c r="AT112" s="14" t="e">
        <f t="shared" ca="1" si="37"/>
        <v>#REF!</v>
      </c>
    </row>
    <row r="113" spans="1:48" s="11" customFormat="1" ht="18" customHeight="1" thickBot="1" x14ac:dyDescent="0.35">
      <c r="A113" s="352">
        <v>8.1999999999999993</v>
      </c>
      <c r="B113" s="388" t="s">
        <v>324</v>
      </c>
      <c r="C113" s="107"/>
      <c r="D113" s="109"/>
      <c r="E113" s="552"/>
      <c r="F113" s="552"/>
      <c r="G113" s="552"/>
      <c r="H113" s="552"/>
      <c r="I113" s="552"/>
      <c r="J113" s="109"/>
      <c r="M113"/>
      <c r="O113" s="325"/>
      <c r="Q113" s="2"/>
      <c r="R113" s="2"/>
      <c r="S113" s="2"/>
      <c r="T113" s="2"/>
      <c r="U113" s="2"/>
      <c r="V113" s="198" t="s">
        <v>325</v>
      </c>
      <c r="W113" s="244">
        <f t="shared" ref="W113:W115" ca="1" si="38">IF( ISERROR(IF(OR(INDIRECT(V113)=0,INDIRECT(V113)=""),1,0)),"",IF(INDIRECT(V113)="",1,0))</f>
        <v>1</v>
      </c>
      <c r="X113" s="199" t="str">
        <f>LineBreak&amp;Indent&amp;A113&amp;"    "&amp;SUBSTITUTE(B113,"Do","Don't")&amp;"……  Enter 0 if this is true"</f>
        <v xml:space="preserve"> 
                 8.2    Don't you offer an evidence synthesis and summarising service after searches?……  Enter 0 if this is true</v>
      </c>
      <c r="Y113" s="224" t="b">
        <f>AND($U$109&lt;&gt;NotStarted,$U$109&lt;&gt;Finished)</f>
        <v>0</v>
      </c>
      <c r="Z113" s="231" t="str">
        <f t="shared" si="23"/>
        <v/>
      </c>
      <c r="AA113" s="228"/>
      <c r="AB113" s="14"/>
      <c r="AE113" s="249" t="s">
        <v>326</v>
      </c>
      <c r="AF113" s="257" t="s">
        <v>327</v>
      </c>
      <c r="AG113" s="258" t="s">
        <v>328</v>
      </c>
      <c r="AH113" s="258" t="s">
        <v>329</v>
      </c>
      <c r="AI113" s="258" t="s">
        <v>330</v>
      </c>
      <c r="AJ113" s="258" t="s">
        <v>331</v>
      </c>
      <c r="AK113" s="258" t="s">
        <v>332</v>
      </c>
      <c r="AL113" s="258" t="s">
        <v>333</v>
      </c>
      <c r="AM113" s="258" t="s">
        <v>334</v>
      </c>
      <c r="AN113" s="258" t="s">
        <v>335</v>
      </c>
      <c r="AO113" s="258" t="s">
        <v>307</v>
      </c>
      <c r="AP113" s="258"/>
      <c r="AQ113" s="258"/>
      <c r="AR113" s="258"/>
      <c r="AS113" s="258"/>
      <c r="AT113" s="259"/>
    </row>
    <row r="114" spans="1:48" s="11" customFormat="1" ht="18" customHeight="1" thickBot="1" x14ac:dyDescent="0.35">
      <c r="A114" s="351">
        <v>8.3000000000000007</v>
      </c>
      <c r="B114" s="110" t="s">
        <v>336</v>
      </c>
      <c r="C114" s="416"/>
      <c r="D114" s="109"/>
      <c r="E114" s="409"/>
      <c r="F114" s="409"/>
      <c r="G114" s="409"/>
      <c r="H114" s="409"/>
      <c r="I114" s="409"/>
      <c r="J114" s="109"/>
      <c r="M114"/>
      <c r="O114" s="338"/>
      <c r="Q114" s="2"/>
      <c r="R114" s="2"/>
      <c r="S114" s="2"/>
      <c r="T114" s="2"/>
      <c r="U114" s="2"/>
      <c r="V114" s="198"/>
      <c r="W114" s="244"/>
      <c r="X114" s="199"/>
      <c r="Y114" s="224"/>
      <c r="Z114" s="231"/>
      <c r="AA114" s="228"/>
      <c r="AB114" s="14"/>
      <c r="AE114" s="249"/>
      <c r="AF114" s="420"/>
      <c r="AG114" s="421"/>
      <c r="AH114" s="421"/>
      <c r="AI114" s="421"/>
      <c r="AJ114" s="421"/>
      <c r="AK114" s="421"/>
      <c r="AL114" s="421"/>
      <c r="AM114" s="421"/>
      <c r="AN114" s="421"/>
      <c r="AO114" s="421"/>
      <c r="AP114" s="421"/>
      <c r="AQ114" s="421"/>
      <c r="AR114" s="421"/>
      <c r="AS114" s="421"/>
      <c r="AT114" s="422"/>
    </row>
    <row r="115" spans="1:48" customFormat="1" ht="12.75" customHeight="1" thickBot="1" x14ac:dyDescent="0.35">
      <c r="A115" s="350">
        <v>8.4</v>
      </c>
      <c r="B115" s="8" t="s">
        <v>337</v>
      </c>
      <c r="C115" s="66"/>
      <c r="E115" s="502" t="s">
        <v>338</v>
      </c>
      <c r="F115" s="549" t="s">
        <v>339</v>
      </c>
      <c r="G115" s="549" t="s">
        <v>340</v>
      </c>
      <c r="H115" s="549" t="s">
        <v>341</v>
      </c>
      <c r="I115" s="507" t="s">
        <v>342</v>
      </c>
      <c r="K115" s="459" t="s">
        <v>105</v>
      </c>
      <c r="L115" s="460"/>
      <c r="O115" s="336"/>
      <c r="Q115" s="2"/>
      <c r="R115" s="2"/>
      <c r="S115" s="2"/>
      <c r="T115" s="2"/>
      <c r="U115" s="2"/>
      <c r="V115" s="198" t="s">
        <v>343</v>
      </c>
      <c r="W115" s="244">
        <f t="shared" ca="1" si="38"/>
        <v>1</v>
      </c>
      <c r="X115" s="199" t="str">
        <f>LineBreak&amp;Indent&amp;A114&amp;"    "&amp;SUBSTITUTE(B114,"Do","Don't")&amp;"……  Enter 0 if this is true"</f>
        <v xml:space="preserve"> 
                 8.3    Don't you offer an embedded/clinical/outreach librarian service?……  Enter 0 if this is true</v>
      </c>
      <c r="Y115" s="224" t="b">
        <f>AND($U$109&lt;&gt;NotStarted,$U$109&lt;&gt;Finished)</f>
        <v>0</v>
      </c>
      <c r="Z115" s="231" t="str">
        <f t="shared" si="23"/>
        <v/>
      </c>
      <c r="AA115" s="228"/>
      <c r="AB115" s="14"/>
      <c r="AC115" s="11"/>
      <c r="AD115" s="243" t="s">
        <v>344</v>
      </c>
      <c r="AF115" s="476" t="str">
        <f ca="1">MID(OFFSET(INDIRECT(AF113),0,-1),AF109,AF110)</f>
        <v/>
      </c>
      <c r="AG115" s="474" t="str">
        <f t="shared" ref="AG115:AT115" ca="1" si="39">MID(OFFSET(INDIRECT(AG113),0,-1),AG109,AG110)</f>
        <v>ber of mediated literature sea</v>
      </c>
      <c r="AH115" s="474" t="str">
        <f t="shared" ca="1" si="39"/>
        <v>diaiated literature searches h</v>
      </c>
      <c r="AI115" s="474" t="str">
        <f t="shared" ca="1" si="39"/>
        <v/>
      </c>
      <c r="AJ115" s="474" t="str">
        <f t="shared" ca="1" si="39"/>
        <v>ATION &amp; INDUCTION</v>
      </c>
      <c r="AK115" s="474" t="str">
        <f t="shared" ca="1" si="39"/>
        <v>1:1 for new users (e.g. ad hoc</v>
      </c>
      <c r="AL115" s="474" t="str">
        <f t="shared" ca="1" si="39"/>
        <v>Loans (ILLs) received from oth</v>
      </c>
      <c r="AM115" s="474" t="str">
        <f t="shared" ca="1" si="39"/>
        <v xml:space="preserve">Copies etc. made by LKS staff </v>
      </c>
      <c r="AN115" s="474" t="str">
        <f t="shared" ca="1" si="39"/>
        <v xml:space="preserve">Copies etc. made by LKS staff </v>
      </c>
      <c r="AO115" s="474" t="str">
        <f t="shared" ca="1" si="39"/>
        <v>Copies etc. receiv</v>
      </c>
      <c r="AP115" s="474" t="e">
        <f t="shared" ca="1" si="39"/>
        <v>#REF!</v>
      </c>
      <c r="AQ115" s="474" t="e">
        <f t="shared" ca="1" si="39"/>
        <v>#REF!</v>
      </c>
      <c r="AR115" s="474" t="e">
        <f t="shared" ca="1" si="39"/>
        <v>#REF!</v>
      </c>
      <c r="AS115" s="474" t="e">
        <f t="shared" ca="1" si="39"/>
        <v>#REF!</v>
      </c>
      <c r="AT115" s="475" t="e">
        <f t="shared" ca="1" si="39"/>
        <v>#REF!</v>
      </c>
      <c r="AU115" s="266"/>
    </row>
    <row r="116" spans="1:48" customFormat="1" ht="12.75" customHeight="1" thickBot="1" x14ac:dyDescent="0.35">
      <c r="A116" s="119"/>
      <c r="B116" s="110"/>
      <c r="E116" s="503"/>
      <c r="F116" s="550"/>
      <c r="G116" s="550"/>
      <c r="H116" s="550"/>
      <c r="I116" s="508"/>
      <c r="K116" s="461"/>
      <c r="L116" s="462"/>
      <c r="O116" s="336"/>
      <c r="Q116" s="2"/>
      <c r="R116" s="2"/>
      <c r="S116" s="2"/>
      <c r="T116" s="2"/>
      <c r="U116" s="2"/>
      <c r="V116" s="198"/>
      <c r="W116" s="198"/>
      <c r="X116" s="199"/>
      <c r="Y116" s="223"/>
      <c r="Z116" s="231" t="str">
        <f t="shared" si="23"/>
        <v/>
      </c>
      <c r="AA116" s="228"/>
      <c r="AB116" s="14"/>
      <c r="AF116" s="476"/>
      <c r="AG116" s="474"/>
      <c r="AH116" s="474"/>
      <c r="AI116" s="474"/>
      <c r="AJ116" s="474"/>
      <c r="AK116" s="474"/>
      <c r="AL116" s="474"/>
      <c r="AM116" s="474"/>
      <c r="AN116" s="474"/>
      <c r="AO116" s="474"/>
      <c r="AP116" s="474"/>
      <c r="AQ116" s="474"/>
      <c r="AR116" s="474"/>
      <c r="AS116" s="474"/>
      <c r="AT116" s="475"/>
      <c r="AU116" s="266"/>
    </row>
    <row r="117" spans="1:48" customFormat="1" ht="25.5" customHeight="1" thickBot="1" x14ac:dyDescent="0.35">
      <c r="A117" s="501" t="s">
        <v>345</v>
      </c>
      <c r="B117" s="501"/>
      <c r="C117" s="121" t="s">
        <v>346</v>
      </c>
      <c r="E117" s="504"/>
      <c r="F117" s="551"/>
      <c r="G117" s="551"/>
      <c r="H117" s="551"/>
      <c r="I117" s="509"/>
      <c r="K117" s="463"/>
      <c r="L117" s="464"/>
      <c r="O117" s="336"/>
      <c r="Q117" s="2" t="s">
        <v>347</v>
      </c>
      <c r="R117" s="2"/>
      <c r="S117" s="2"/>
      <c r="T117" s="2"/>
      <c r="U117" s="290">
        <f>COUNTIF(C118:C122,"&gt;=0")</f>
        <v>0</v>
      </c>
      <c r="V117" s="198" t="s">
        <v>348</v>
      </c>
      <c r="W117" s="245">
        <f t="shared" ca="1" si="36"/>
        <v>1</v>
      </c>
      <c r="X117" s="199" t="str">
        <f>IF(AND($U$109=Started,U117&lt;&gt;3),LineBreak&amp;LineBreak&amp;"    "&amp;LEFT(A117,60),"")</f>
        <v/>
      </c>
      <c r="Y117" s="234" t="b">
        <v>1</v>
      </c>
      <c r="Z117" s="231" t="str">
        <f t="shared" si="23"/>
        <v/>
      </c>
      <c r="AA117" s="228"/>
      <c r="AB117" s="14"/>
      <c r="AF117" s="476"/>
      <c r="AG117" s="474"/>
      <c r="AH117" s="474"/>
      <c r="AI117" s="474"/>
      <c r="AJ117" s="474"/>
      <c r="AK117" s="474"/>
      <c r="AL117" s="474"/>
      <c r="AM117" s="474"/>
      <c r="AN117" s="474"/>
      <c r="AO117" s="474"/>
      <c r="AP117" s="474"/>
      <c r="AQ117" s="474"/>
      <c r="AR117" s="474"/>
      <c r="AS117" s="474"/>
      <c r="AT117" s="475"/>
      <c r="AU117" s="266"/>
    </row>
    <row r="118" spans="1:48" customFormat="1" ht="15" customHeight="1" thickBot="1" x14ac:dyDescent="0.35">
      <c r="A118" s="350" t="s">
        <v>349</v>
      </c>
      <c r="B118" s="46" t="s">
        <v>350</v>
      </c>
      <c r="C118" s="67"/>
      <c r="D118" s="236"/>
      <c r="E118" s="333"/>
      <c r="F118" s="334"/>
      <c r="G118" s="334"/>
      <c r="H118" s="334"/>
      <c r="I118" s="237"/>
      <c r="J118" s="238" t="str">
        <f>IF(AND(I118&gt;0,LEN(K118)=0),"Please add &gt;","")</f>
        <v/>
      </c>
      <c r="K118" s="457"/>
      <c r="L118" s="458"/>
      <c r="O118" s="336"/>
      <c r="Q118" s="241" t="b">
        <f>AND(C118&gt;0,SUM(E118:I118)=0)</f>
        <v>0</v>
      </c>
      <c r="R118" s="239" t="str">
        <f>IF(Q118,LineBreak&amp;Indent&amp;"8.4   Mediated search breakdown numbers needed ….","")</f>
        <v/>
      </c>
      <c r="S118" s="240"/>
      <c r="T118" s="240"/>
      <c r="U118" s="228"/>
      <c r="V118" s="242" t="s">
        <v>327</v>
      </c>
      <c r="W118" s="244">
        <f t="shared" ref="W118:W123" ca="1" si="40">IF( ISERROR(IF(OR(INDIRECT(V118)=0,INDIRECT(V118)=""),1,0)),"",IF(INDIRECT(V118)="",1,0))</f>
        <v>0</v>
      </c>
      <c r="X118" s="314" t="str">
        <f ca="1">IF(HLOOKUP(V118,TblAnnualStatsComments,18,FALSE)="","",LineBreak&amp;Indent&amp;HLOOKUP(V118,TblAnnualStatsComments,18,FALSE))</f>
        <v/>
      </c>
      <c r="Y118" s="224" t="b">
        <f>AND($U$109&lt;&gt;NotStarted,$U$109&lt;&gt;Finished)</f>
        <v>0</v>
      </c>
      <c r="Z118" s="231" t="str">
        <f t="shared" si="23"/>
        <v/>
      </c>
      <c r="AA118" s="228"/>
      <c r="AB118" s="14"/>
      <c r="AD118" s="2"/>
      <c r="AE118" s="286" t="s">
        <v>351</v>
      </c>
      <c r="AF118" s="476"/>
      <c r="AG118" s="474"/>
      <c r="AH118" s="474"/>
      <c r="AI118" s="474"/>
      <c r="AJ118" s="474"/>
      <c r="AK118" s="474"/>
      <c r="AL118" s="474"/>
      <c r="AM118" s="474"/>
      <c r="AN118" s="474"/>
      <c r="AO118" s="474"/>
      <c r="AP118" s="474"/>
      <c r="AQ118" s="474"/>
      <c r="AR118" s="474"/>
      <c r="AS118" s="474"/>
      <c r="AT118" s="475"/>
      <c r="AU118" s="266"/>
    </row>
    <row r="119" spans="1:48" customFormat="1" ht="27" customHeight="1" x14ac:dyDescent="0.3">
      <c r="A119" s="350" t="s">
        <v>352</v>
      </c>
      <c r="B119" s="437" t="s">
        <v>353</v>
      </c>
      <c r="C119" s="67"/>
      <c r="D119" s="2"/>
      <c r="E119" s="405"/>
      <c r="F119" s="405"/>
      <c r="G119" s="405"/>
      <c r="H119" s="405"/>
      <c r="I119" s="406"/>
      <c r="J119" s="238"/>
      <c r="K119" s="407"/>
      <c r="L119" s="408"/>
      <c r="O119" s="336"/>
      <c r="Q119" s="241"/>
      <c r="R119" s="239"/>
      <c r="S119" s="240"/>
      <c r="T119" s="240"/>
      <c r="U119" s="228"/>
      <c r="V119" s="242"/>
      <c r="W119" s="244"/>
      <c r="X119" s="314"/>
      <c r="Y119" s="224"/>
      <c r="Z119" s="231"/>
      <c r="AA119" s="228"/>
      <c r="AB119" s="14"/>
      <c r="AD119" s="2"/>
      <c r="AE119" s="286"/>
      <c r="AF119" s="476"/>
      <c r="AG119" s="474"/>
      <c r="AH119" s="474"/>
      <c r="AI119" s="474"/>
      <c r="AJ119" s="474"/>
      <c r="AK119" s="474"/>
      <c r="AL119" s="474"/>
      <c r="AM119" s="474"/>
      <c r="AN119" s="474"/>
      <c r="AO119" s="474"/>
      <c r="AP119" s="474"/>
      <c r="AQ119" s="474"/>
      <c r="AR119" s="474"/>
      <c r="AS119" s="474"/>
      <c r="AT119" s="475"/>
      <c r="AU119" s="266"/>
    </row>
    <row r="120" spans="1:48" customFormat="1" ht="15" customHeight="1" x14ac:dyDescent="0.3">
      <c r="A120" s="351" t="s">
        <v>354</v>
      </c>
      <c r="B120" s="52" t="s">
        <v>355</v>
      </c>
      <c r="C120" s="107"/>
      <c r="D120" s="434"/>
      <c r="E120" s="405"/>
      <c r="F120" s="405"/>
      <c r="G120" s="405"/>
      <c r="H120" s="405"/>
      <c r="I120" s="406"/>
      <c r="J120" s="238"/>
      <c r="K120" s="407"/>
      <c r="L120" s="408"/>
      <c r="O120" s="336"/>
      <c r="Q120" s="241"/>
      <c r="R120" s="239"/>
      <c r="S120" s="240"/>
      <c r="T120" s="240"/>
      <c r="U120" s="228"/>
      <c r="V120" s="242"/>
      <c r="W120" s="244"/>
      <c r="X120" s="314"/>
      <c r="Y120" s="224"/>
      <c r="Z120" s="231"/>
      <c r="AA120" s="228"/>
      <c r="AB120" s="14"/>
      <c r="AD120" s="2"/>
      <c r="AE120" s="286"/>
      <c r="AF120" s="476"/>
      <c r="AG120" s="474"/>
      <c r="AH120" s="474"/>
      <c r="AI120" s="474"/>
      <c r="AJ120" s="474"/>
      <c r="AK120" s="474"/>
      <c r="AL120" s="474"/>
      <c r="AM120" s="474"/>
      <c r="AN120" s="474"/>
      <c r="AO120" s="474"/>
      <c r="AP120" s="474"/>
      <c r="AQ120" s="474"/>
      <c r="AR120" s="474"/>
      <c r="AS120" s="474"/>
      <c r="AT120" s="475"/>
      <c r="AU120" s="266"/>
    </row>
    <row r="121" spans="1:48" s="100" customFormat="1" ht="27.65" customHeight="1" x14ac:dyDescent="0.3">
      <c r="A121" s="351" t="s">
        <v>356</v>
      </c>
      <c r="B121" s="52" t="s">
        <v>357</v>
      </c>
      <c r="C121" s="416"/>
      <c r="D121"/>
      <c r="E121" s="554" t="s">
        <v>358</v>
      </c>
      <c r="F121" s="554"/>
      <c r="G121" s="554"/>
      <c r="H121" s="554"/>
      <c r="I121" s="554"/>
      <c r="K121" s="453"/>
      <c r="L121" s="454"/>
      <c r="M121"/>
      <c r="N121"/>
      <c r="O121" s="337"/>
      <c r="Q121" s="241" t="b">
        <f>LEN(J118)&gt;0</f>
        <v>0</v>
      </c>
      <c r="R121" s="239" t="str">
        <f>IF(Q121,LineBreak&amp;Indent&amp;"8.4        Comment needed about 'Other' mediated searches (K117)","")</f>
        <v/>
      </c>
      <c r="S121" s="240"/>
      <c r="T121" s="240"/>
      <c r="U121" s="228"/>
      <c r="V121" s="242" t="s">
        <v>359</v>
      </c>
      <c r="W121" s="244">
        <f ca="1">IF(INDIRECT(V121)="",0,1)</f>
        <v>0</v>
      </c>
      <c r="X121" s="314" t="str">
        <f ca="1">IF(W121=1,LineBreak&amp;Indent&amp;D118,"")</f>
        <v/>
      </c>
      <c r="Y121" s="224" t="b">
        <f>AND($U$109&lt;&gt;NotStarted,$U$109&lt;&gt;Finished)</f>
        <v>0</v>
      </c>
      <c r="Z121" s="231" t="str">
        <f t="shared" si="23"/>
        <v/>
      </c>
      <c r="AA121" s="228" t="s">
        <v>23</v>
      </c>
      <c r="AB121" s="14"/>
      <c r="AC121"/>
      <c r="AF121" s="476"/>
      <c r="AG121" s="474"/>
      <c r="AH121" s="474"/>
      <c r="AI121" s="474"/>
      <c r="AJ121" s="474"/>
      <c r="AK121" s="474"/>
      <c r="AL121" s="474"/>
      <c r="AM121" s="474"/>
      <c r="AN121" s="474"/>
      <c r="AO121" s="474"/>
      <c r="AP121" s="474"/>
      <c r="AQ121" s="474"/>
      <c r="AR121" s="474"/>
      <c r="AS121" s="474"/>
      <c r="AT121" s="475"/>
      <c r="AU121" s="267"/>
    </row>
    <row r="122" spans="1:48" s="100" customFormat="1" ht="14.25" customHeight="1" thickBot="1" x14ac:dyDescent="0.35">
      <c r="A122" s="352">
        <v>8.6999999999999993</v>
      </c>
      <c r="B122" s="111" t="s">
        <v>360</v>
      </c>
      <c r="C122" s="108"/>
      <c r="D122"/>
      <c r="E122" s="410"/>
      <c r="F122" s="410"/>
      <c r="G122" s="410"/>
      <c r="H122" s="410"/>
      <c r="I122" s="410"/>
      <c r="K122" s="417"/>
      <c r="L122" s="418"/>
      <c r="M122"/>
      <c r="N122"/>
      <c r="O122" s="337"/>
      <c r="Q122" s="419"/>
      <c r="R122" s="191"/>
      <c r="S122" s="2"/>
      <c r="T122" s="2"/>
      <c r="U122" s="2"/>
      <c r="V122" s="242"/>
      <c r="W122" s="244"/>
      <c r="X122" s="314"/>
      <c r="Y122" s="224"/>
      <c r="Z122" s="231"/>
      <c r="AA122" s="228"/>
      <c r="AB122" s="14"/>
      <c r="AC122"/>
      <c r="AF122" s="476"/>
      <c r="AG122" s="474"/>
      <c r="AH122" s="474"/>
      <c r="AI122" s="474"/>
      <c r="AJ122" s="474"/>
      <c r="AK122" s="474"/>
      <c r="AL122" s="474"/>
      <c r="AM122" s="474"/>
      <c r="AN122" s="474"/>
      <c r="AO122" s="474"/>
      <c r="AP122" s="474"/>
      <c r="AQ122" s="474"/>
      <c r="AR122" s="474"/>
      <c r="AS122" s="474"/>
      <c r="AT122" s="475"/>
      <c r="AU122" s="267"/>
    </row>
    <row r="123" spans="1:48" s="100" customFormat="1" ht="15.75" customHeight="1" thickBot="1" x14ac:dyDescent="0.35">
      <c r="D123"/>
      <c r="J123" s="339"/>
      <c r="K123" s="455"/>
      <c r="L123" s="456"/>
      <c r="M123"/>
      <c r="N123"/>
      <c r="O123" s="337"/>
      <c r="V123" s="242" t="s">
        <v>328</v>
      </c>
      <c r="W123" s="244">
        <f t="shared" ca="1" si="40"/>
        <v>1</v>
      </c>
      <c r="X123" s="314" t="str">
        <f ca="1">IF(HLOOKUP(V123,TblAnnualStatsComments,18,FALSE)="","",LineBreak&amp;Indent&amp;HLOOKUP(V123,TblAnnualStatsComments,18,FALSE))</f>
        <v/>
      </c>
      <c r="Y123" s="224" t="b">
        <f>AND($U$109&lt;&gt;NotStarted,$U$109&lt;&gt;Finished)</f>
        <v>0</v>
      </c>
      <c r="Z123" s="231" t="str">
        <f t="shared" ref="Z123:Z169" si="41" xml:space="preserve"> IF(Y123,X123&amp;IF(AA123&lt;&gt;"",IF(V123&lt;&gt;"", "  ("&amp;V123&amp;")  - ",""),""),"")</f>
        <v/>
      </c>
      <c r="AA123" s="228"/>
      <c r="AB123" s="14"/>
      <c r="AF123" s="476"/>
      <c r="AG123" s="474"/>
      <c r="AH123" s="474"/>
      <c r="AI123" s="474"/>
      <c r="AJ123" s="474"/>
      <c r="AK123" s="474"/>
      <c r="AL123" s="474"/>
      <c r="AM123" s="474"/>
      <c r="AN123" s="474"/>
      <c r="AO123" s="474"/>
      <c r="AP123" s="474"/>
      <c r="AQ123" s="474"/>
      <c r="AR123" s="474"/>
      <c r="AS123" s="474"/>
      <c r="AT123" s="475"/>
      <c r="AU123" s="267"/>
    </row>
    <row r="124" spans="1:48" s="11" customFormat="1" ht="13.5" thickBot="1" x14ac:dyDescent="0.35">
      <c r="A124" s="34"/>
      <c r="C124" s="31"/>
      <c r="I124" s="39"/>
      <c r="M124"/>
      <c r="N124"/>
      <c r="O124" s="325"/>
      <c r="Q124" s="2"/>
      <c r="R124" s="2"/>
      <c r="S124" s="2"/>
      <c r="T124" s="2"/>
      <c r="U124" s="2"/>
      <c r="V124" s="198" t="s">
        <v>329</v>
      </c>
      <c r="W124" s="198"/>
      <c r="X124" s="314" t="str">
        <f ca="1">IF(HLOOKUP(V124,TblAnnualStatsComments,18,FALSE)="","",LineBreak&amp;Indent&amp;HLOOKUP(V124,TblAnnualStatsComments,18,FALSE))</f>
        <v/>
      </c>
      <c r="Y124" s="224" t="b">
        <f>AND($U$109&lt;&gt;NotStarted,$U$109&lt;&gt;Finished)</f>
        <v>0</v>
      </c>
      <c r="Z124" s="231" t="str">
        <f t="shared" si="41"/>
        <v/>
      </c>
      <c r="AA124" s="228"/>
      <c r="AB124" s="14"/>
      <c r="AC124" s="100"/>
      <c r="AD124" s="11" t="s">
        <v>361</v>
      </c>
      <c r="AF124" s="476"/>
      <c r="AG124" s="474"/>
      <c r="AH124" s="474"/>
      <c r="AI124" s="474"/>
      <c r="AJ124" s="474"/>
      <c r="AK124" s="474"/>
      <c r="AL124" s="474"/>
      <c r="AM124" s="474"/>
      <c r="AN124" s="474"/>
      <c r="AO124" s="474"/>
      <c r="AP124" s="474"/>
      <c r="AQ124" s="474"/>
      <c r="AR124" s="474"/>
      <c r="AS124" s="474"/>
      <c r="AT124" s="475"/>
      <c r="AU124" s="267"/>
      <c r="AV124" s="251" t="s">
        <v>362</v>
      </c>
    </row>
    <row r="125" spans="1:48" s="11" customFormat="1" ht="12.75" customHeight="1" x14ac:dyDescent="0.3">
      <c r="A125" s="48" t="s">
        <v>363</v>
      </c>
      <c r="B125" s="49" t="s">
        <v>364</v>
      </c>
      <c r="C125" s="38"/>
      <c r="F125"/>
      <c r="I125" s="39"/>
      <c r="M125"/>
      <c r="N125"/>
      <c r="O125" s="325"/>
      <c r="Q125" s="2"/>
      <c r="R125" s="2"/>
      <c r="S125" s="2"/>
      <c r="T125" s="313" t="s">
        <v>279</v>
      </c>
      <c r="U125" s="315" t="str">
        <f>IF(AND(U127+U131+U140=0,LEN(D128)=0),NotStarted,
IF(AND(U127+U131+U140=10,LEN(D128)=0),Finished,Started))</f>
        <v xml:space="preserve">       &lt; Not Started &gt;</v>
      </c>
      <c r="V125" s="242" t="s">
        <v>365</v>
      </c>
      <c r="W125" s="244">
        <f t="shared" ref="W125:W126" ca="1" si="42">IF( ISERROR(IF(OR(INDIRECT(V125)=0,INDIRECT(V125)=""),1,0)),"",IF(OR(INDIRECT(V125)=0,INDIRECT(V125)=""),1,0))</f>
        <v>1</v>
      </c>
      <c r="X125" s="191"/>
      <c r="Y125" s="224" t="b">
        <f>$U$109&lt;&gt;NotStarted</f>
        <v>0</v>
      </c>
      <c r="Z125" s="231" t="str">
        <f t="shared" si="41"/>
        <v/>
      </c>
      <c r="AA125" s="228"/>
      <c r="AB125" s="14"/>
      <c r="AD125" s="277" t="s">
        <v>366</v>
      </c>
      <c r="AE125" s="282" t="s">
        <v>367</v>
      </c>
      <c r="AF125" s="269" t="str">
        <f t="shared" ref="AF125:AT126" ca="1" si="43">IF(INDIRECT(AF$113)=$AE125,AF$133&amp;"   '"&amp;INDIRECT(AF$113)&amp;"' "&amp;$AV125,"")</f>
        <v/>
      </c>
      <c r="AG125" s="270" t="str">
        <f t="shared" ca="1" si="43"/>
        <v/>
      </c>
      <c r="AH125" s="270" t="str">
        <f t="shared" ca="1" si="43"/>
        <v/>
      </c>
      <c r="AI125" s="270" t="str">
        <f t="shared" ca="1" si="43"/>
        <v/>
      </c>
      <c r="AJ125" s="270" t="str">
        <f t="shared" ca="1" si="43"/>
        <v/>
      </c>
      <c r="AK125" s="270" t="str">
        <f t="shared" ca="1" si="43"/>
        <v/>
      </c>
      <c r="AL125" s="270" t="str">
        <f t="shared" ca="1" si="43"/>
        <v/>
      </c>
      <c r="AM125" s="270" t="str">
        <f t="shared" ca="1" si="43"/>
        <v/>
      </c>
      <c r="AN125" s="270" t="str">
        <f t="shared" ca="1" si="43"/>
        <v/>
      </c>
      <c r="AO125" s="270" t="str">
        <f t="shared" ca="1" si="43"/>
        <v/>
      </c>
      <c r="AP125" s="270" t="e">
        <f t="shared" ca="1" si="43"/>
        <v>#REF!</v>
      </c>
      <c r="AQ125" s="270" t="e">
        <f t="shared" ca="1" si="43"/>
        <v>#REF!</v>
      </c>
      <c r="AR125" s="270" t="e">
        <f t="shared" ca="1" si="43"/>
        <v>#REF!</v>
      </c>
      <c r="AS125" s="270" t="e">
        <f t="shared" ca="1" si="43"/>
        <v>#REF!</v>
      </c>
      <c r="AT125" s="271" t="e">
        <f t="shared" ca="1" si="43"/>
        <v>#REF!</v>
      </c>
      <c r="AU125" s="267"/>
      <c r="AV125" s="250" t="s">
        <v>368</v>
      </c>
    </row>
    <row r="126" spans="1:48" s="11" customFormat="1" ht="39.75" customHeight="1" x14ac:dyDescent="0.3">
      <c r="A126" s="492" t="s">
        <v>369</v>
      </c>
      <c r="B126" s="492"/>
      <c r="C126" s="492"/>
      <c r="D126" s="492"/>
      <c r="E126" s="552" t="s">
        <v>370</v>
      </c>
      <c r="F126" s="552"/>
      <c r="G126" s="552"/>
      <c r="H126" s="552"/>
      <c r="I126" s="552"/>
      <c r="J126" s="54"/>
      <c r="L126"/>
      <c r="M126"/>
      <c r="N126"/>
      <c r="O126" s="325"/>
      <c r="Q126" s="2"/>
      <c r="R126" s="239" t="b">
        <f>IF(Q126,LineBreak&amp;"      9.1     User education sessions breakdown")</f>
        <v>0</v>
      </c>
      <c r="S126" s="2"/>
      <c r="T126" s="301" t="s">
        <v>17</v>
      </c>
      <c r="U126" s="316" t="str">
        <f>IF(AND(U127=0,LEN(D128)=0),NotStarted,
IF(AND(U127=2,LEN(D128)=0),Finished,Started))</f>
        <v xml:space="preserve">       &lt; Not Started &gt;</v>
      </c>
      <c r="V126" s="242" t="s">
        <v>371</v>
      </c>
      <c r="W126" s="244">
        <f t="shared" ca="1" si="42"/>
        <v>1</v>
      </c>
      <c r="X126" s="199" t="str">
        <f>LineBreak &amp;LineBreak&amp;A125&amp;"  "&amp;LEFT(B125,60)&amp;U125&amp;LineBreak</f>
        <v xml:space="preserve"> 
9  USER EDUCATION &amp; INDUCTION       &lt; Not Started &gt; 
</v>
      </c>
      <c r="Y126" s="224" t="b">
        <v>1</v>
      </c>
      <c r="Z126" s="231" t="str">
        <f t="shared" si="41"/>
        <v xml:space="preserve"> 
9  USER EDUCATION &amp; INDUCTION       &lt; Not Started &gt; 
</v>
      </c>
      <c r="AA126" s="228"/>
      <c r="AB126" s="14"/>
      <c r="AD126" s="277" t="s">
        <v>366</v>
      </c>
      <c r="AE126" s="283" t="s">
        <v>372</v>
      </c>
      <c r="AF126" s="269" t="str">
        <f t="shared" ca="1" si="43"/>
        <v/>
      </c>
      <c r="AG126" s="270" t="str">
        <f t="shared" ca="1" si="43"/>
        <v/>
      </c>
      <c r="AH126" s="270" t="str">
        <f t="shared" ca="1" si="43"/>
        <v/>
      </c>
      <c r="AI126" s="270" t="str">
        <f t="shared" ca="1" si="43"/>
        <v/>
      </c>
      <c r="AJ126" s="270" t="str">
        <f t="shared" ca="1" si="43"/>
        <v/>
      </c>
      <c r="AK126" s="270" t="str">
        <f t="shared" ca="1" si="43"/>
        <v/>
      </c>
      <c r="AL126" s="270" t="str">
        <f t="shared" ca="1" si="43"/>
        <v/>
      </c>
      <c r="AM126" s="270" t="str">
        <f t="shared" ca="1" si="43"/>
        <v/>
      </c>
      <c r="AN126" s="270" t="str">
        <f t="shared" ca="1" si="43"/>
        <v/>
      </c>
      <c r="AO126" s="270" t="str">
        <f t="shared" ca="1" si="43"/>
        <v/>
      </c>
      <c r="AP126" s="270" t="e">
        <f t="shared" ca="1" si="43"/>
        <v>#REF!</v>
      </c>
      <c r="AQ126" s="270" t="e">
        <f t="shared" ca="1" si="43"/>
        <v>#REF!</v>
      </c>
      <c r="AR126" s="270" t="e">
        <f t="shared" ca="1" si="43"/>
        <v>#REF!</v>
      </c>
      <c r="AS126" s="270" t="e">
        <f t="shared" ca="1" si="43"/>
        <v>#REF!</v>
      </c>
      <c r="AT126" s="271" t="e">
        <f t="shared" ca="1" si="43"/>
        <v>#REF!</v>
      </c>
      <c r="AU126" s="267"/>
      <c r="AV126" s="250" t="s">
        <v>373</v>
      </c>
    </row>
    <row r="127" spans="1:48" s="11" customFormat="1" ht="39.75" customHeight="1" thickBot="1" x14ac:dyDescent="0.35">
      <c r="A127" s="30" t="s">
        <v>374</v>
      </c>
      <c r="B127" s="390"/>
      <c r="C127" s="120" t="s">
        <v>375</v>
      </c>
      <c r="E127" s="134" t="s">
        <v>376</v>
      </c>
      <c r="F127" s="135" t="s">
        <v>377</v>
      </c>
      <c r="G127" s="135" t="s">
        <v>340</v>
      </c>
      <c r="H127" s="135" t="s">
        <v>378</v>
      </c>
      <c r="I127" s="136" t="s">
        <v>379</v>
      </c>
      <c r="K127" s="459" t="s">
        <v>105</v>
      </c>
      <c r="L127" s="460"/>
      <c r="M127"/>
      <c r="N127"/>
      <c r="O127" s="338"/>
      <c r="Q127" s="2" t="s">
        <v>380</v>
      </c>
      <c r="R127" s="2"/>
      <c r="S127" s="2"/>
      <c r="T127" s="2"/>
      <c r="U127" s="299">
        <f>COUNTA(C128:C129)</f>
        <v>0</v>
      </c>
      <c r="V127" s="198" t="s">
        <v>381</v>
      </c>
      <c r="W127" s="198">
        <f t="shared" ca="1" si="36"/>
        <v>0</v>
      </c>
      <c r="X127" s="199" t="str">
        <f>LineBreak&amp;"    "&amp;A127&amp;":  "&amp;LEFT(B127,60)&amp;U126</f>
        <v xml:space="preserve"> 
    Education/Training :         &lt; Not Started &gt;</v>
      </c>
      <c r="Y127" s="234" t="b">
        <f>U125=Started</f>
        <v>0</v>
      </c>
      <c r="Z127" s="231" t="str">
        <f t="shared" si="41"/>
        <v/>
      </c>
      <c r="AA127" s="228"/>
      <c r="AB127" s="14"/>
      <c r="AD127" s="278" t="s">
        <v>366</v>
      </c>
      <c r="AE127" s="284">
        <v>0</v>
      </c>
      <c r="AF127" s="272" t="str">
        <f ca="1">IF(INDIRECT(AF$113)&gt;0,"",
IF(AND(INDIRECT(AF$113)=0, LEN(INDIRECT(AF$113))=0),
AF$133&amp;"   '"&amp;INDIRECT(AF$113)&amp;"' "&amp;$AV127,""))</f>
        <v/>
      </c>
      <c r="AG127" s="270" t="str">
        <f t="shared" ref="AG127:AT127" ca="1" si="44">IF(INDIRECT(AG$113)&gt;0,"",
IF(AND(INDIRECT(AG$113)=0, LEN(INDIRECT(AG$113))=0),
AG$133&amp;"   '"&amp;INDIRECT(AG$113)&amp;"' "&amp;$AV127,""))</f>
        <v>8.5a:   ber of mediated literature sea…(C118)   ''  Nothing to record?  Please add  '0'  or NA  or  NK  to confirm</v>
      </c>
      <c r="AH127" s="270" t="str">
        <f t="shared" ca="1" si="44"/>
        <v>8.5b:   diaiated literature searches h…(C119)   ''  Nothing to record?  Please add  '0'  or NA  or  NK  to confirm</v>
      </c>
      <c r="AI127" s="270" t="str">
        <f t="shared" ca="1" si="44"/>
        <v>0:   …(C124)   ''  Nothing to record?  Please add  '0'  or NA  or  NK  to confirm</v>
      </c>
      <c r="AJ127" s="270" t="str">
        <f t="shared" ca="1" si="44"/>
        <v>9:   ATION &amp; INDUCTION…(C125)   ''  Nothing to record?  Please add  '0'  or NA  or  NK  to confirm</v>
      </c>
      <c r="AK127" s="270" t="str">
        <f t="shared" ca="1" si="44"/>
        <v>9.3e:   1:1 for new users (e.g. ad hoc…(C137)   ''  Nothing to record?  Please add  '0'  or NA  or  NK  to confirm</v>
      </c>
      <c r="AL127" s="270" t="str">
        <f t="shared" ca="1" si="44"/>
        <v/>
      </c>
      <c r="AM127" s="270" t="str">
        <f t="shared" ca="1" si="44"/>
        <v>5.1:   Copies etc. made by LKS staff …(c100)   ''  Nothing to record?  Please add  '0'  or NA  or  NK  to confirm</v>
      </c>
      <c r="AN127" s="270" t="str">
        <f t="shared" ca="1" si="44"/>
        <v>5.2:   Copies etc. made by LKS staff …(c101)   ''  Nothing to record?  Please add  '0'  or NA  or  NK  to confirm</v>
      </c>
      <c r="AO127" s="270" t="str">
        <f t="shared" ca="1" si="44"/>
        <v>7.1:   Copies etc. receiv…(C107)   ''  Nothing to record?  Please add  '0'  or NA  or  NK  to confirm</v>
      </c>
      <c r="AP127" s="270" t="e">
        <f t="shared" ca="1" si="44"/>
        <v>#REF!</v>
      </c>
      <c r="AQ127" s="270" t="e">
        <f t="shared" ca="1" si="44"/>
        <v>#REF!</v>
      </c>
      <c r="AR127" s="270" t="e">
        <f t="shared" ca="1" si="44"/>
        <v>#REF!</v>
      </c>
      <c r="AS127" s="270" t="e">
        <f t="shared" ca="1" si="44"/>
        <v>#REF!</v>
      </c>
      <c r="AT127" s="271" t="e">
        <f t="shared" ca="1" si="44"/>
        <v>#REF!</v>
      </c>
      <c r="AU127" s="268">
        <v>1</v>
      </c>
      <c r="AV127" s="250" t="s">
        <v>382</v>
      </c>
    </row>
    <row r="128" spans="1:48" s="11" customFormat="1" ht="13.5" customHeight="1" thickBot="1" x14ac:dyDescent="0.35">
      <c r="A128" s="10">
        <v>9.1</v>
      </c>
      <c r="B128" s="11" t="s">
        <v>383</v>
      </c>
      <c r="C128" s="65"/>
      <c r="D128" s="236" t="str">
        <f>IF(  AND(C128&gt;0,C128&lt;&gt;"NK",C128&lt;&gt;"NA"),
IF(AND(SUM(E128:I128)&lt;&gt;0,SUM(E128:I128)&gt;=C128,SUM(E128:I128)&lt;=C128*5),"","Finish Breakdown &gt;"),"")</f>
        <v/>
      </c>
      <c r="E128" s="149"/>
      <c r="F128" s="150"/>
      <c r="G128" s="150"/>
      <c r="H128" s="150"/>
      <c r="I128" s="127"/>
      <c r="J128" s="238" t="str">
        <f>IF(AND(I128&gt;0,LEN(K128)=0),"Please add &gt;","")</f>
        <v/>
      </c>
      <c r="K128" s="457"/>
      <c r="L128" s="458"/>
      <c r="M128"/>
      <c r="N128"/>
      <c r="O128" s="338" t="str">
        <f>U125</f>
        <v xml:space="preserve">       &lt; Not Started &gt;</v>
      </c>
      <c r="Q128" s="241" t="b">
        <f>AND(C128&gt;0,SUM(E128:I128)=0)</f>
        <v>0</v>
      </c>
      <c r="R128" s="239" t="str">
        <f>IF(Q128,Indent&amp;"9.1     User education sessions breakdown needed...","")</f>
        <v/>
      </c>
      <c r="S128" s="240"/>
      <c r="T128" s="240"/>
      <c r="U128" s="228"/>
      <c r="V128" s="198" t="s">
        <v>384</v>
      </c>
      <c r="W128" s="244">
        <f t="shared" ref="W128:W130" ca="1" si="45">IF( ISERROR(IF(OR(INDIRECT(V128)=0,INDIRECT(V128)=""),1,0)),"",IF(OR(INDIRECT(V128)=0,INDIRECT(V128)=""),1,0))</f>
        <v>1</v>
      </c>
      <c r="X128" s="199" t="str">
        <f ca="1">IF(HLOOKUP(V128,TblAnnualStatsComments,18,FALSE)="","",Indent&amp;HLOOKUP(V128,TblAnnualStatsComments,18,FALSE))</f>
        <v/>
      </c>
      <c r="Y128" s="224" t="b">
        <f>$U$126=Started</f>
        <v>0</v>
      </c>
      <c r="Z128" s="231" t="str">
        <f t="shared" si="41"/>
        <v/>
      </c>
      <c r="AA128" s="228"/>
      <c r="AB128" s="14"/>
      <c r="AD128" s="275" t="s">
        <v>385</v>
      </c>
      <c r="AE128" s="283">
        <v>15</v>
      </c>
      <c r="AF128" s="269" t="str">
        <f t="shared" ref="AF128:AT128" ca="1" si="46">IF(AND(INDIRECT(AF$113)&lt;=$AE128,INDIRECT(AF$113)&lt;&gt;"",INDIRECT(AF$113)&lt;&gt;0),
LineBreak&amp;Indent&amp;"Perhaps check "&amp;
LineBreak&amp;Indent&amp;AF$133&amp;" 
"&amp;Indent&amp;"         '"&amp;INDIRECT(AF$113)&amp;"' "&amp;$AV128,"")</f>
        <v/>
      </c>
      <c r="AG128" s="269" t="str">
        <f t="shared" ca="1" si="46"/>
        <v/>
      </c>
      <c r="AH128" s="269" t="str">
        <f t="shared" ca="1" si="46"/>
        <v/>
      </c>
      <c r="AI128" s="269" t="str">
        <f t="shared" ca="1" si="46"/>
        <v/>
      </c>
      <c r="AJ128" s="269" t="str">
        <f t="shared" ca="1" si="46"/>
        <v/>
      </c>
      <c r="AK128" s="269" t="str">
        <f t="shared" ca="1" si="46"/>
        <v/>
      </c>
      <c r="AL128" s="269" t="str">
        <f t="shared" ca="1" si="46"/>
        <v/>
      </c>
      <c r="AM128" s="269" t="str">
        <f t="shared" ca="1" si="46"/>
        <v/>
      </c>
      <c r="AN128" s="269" t="str">
        <f t="shared" ca="1" si="46"/>
        <v/>
      </c>
      <c r="AO128" s="269" t="str">
        <f t="shared" ca="1" si="46"/>
        <v/>
      </c>
      <c r="AP128" s="269" t="e">
        <f t="shared" ca="1" si="46"/>
        <v>#REF!</v>
      </c>
      <c r="AQ128" s="269" t="e">
        <f t="shared" ca="1" si="46"/>
        <v>#REF!</v>
      </c>
      <c r="AR128" s="269" t="e">
        <f t="shared" ca="1" si="46"/>
        <v>#REF!</v>
      </c>
      <c r="AS128" s="269" t="e">
        <f t="shared" ca="1" si="46"/>
        <v>#REF!</v>
      </c>
      <c r="AT128" s="269" t="e">
        <f t="shared" ca="1" si="46"/>
        <v>#REF!</v>
      </c>
      <c r="AU128" s="268">
        <v>2</v>
      </c>
      <c r="AV128" s="250" t="str">
        <f>"  seems small for annual value. Is this is  per week / per fornight? "&amp;" Convert to annual No. if needed:   x 52  or  x 26"&amp;LineBreak</f>
        <v xml:space="preserve">  seems small for annual value. Is this is  per week / per fornight?  Convert to annual No. if needed:   x 52  or  x 26 
</v>
      </c>
    </row>
    <row r="129" spans="1:48" s="11" customFormat="1" ht="15" customHeight="1" thickBot="1" x14ac:dyDescent="0.35">
      <c r="A129" s="10">
        <v>9.1999999999999993</v>
      </c>
      <c r="B129" s="11" t="s">
        <v>386</v>
      </c>
      <c r="C129" s="108"/>
      <c r="E129" s="554" t="s">
        <v>387</v>
      </c>
      <c r="F129" s="554"/>
      <c r="G129" s="554"/>
      <c r="H129" s="554"/>
      <c r="I129" s="554"/>
      <c r="J129" s="555"/>
      <c r="K129" s="455"/>
      <c r="L129" s="456"/>
      <c r="M129"/>
      <c r="N129"/>
      <c r="O129" s="338" t="str">
        <f>U126</f>
        <v xml:space="preserve">       &lt; Not Started &gt;</v>
      </c>
      <c r="Q129" s="241" t="b">
        <f>LEN(J128)&gt;0</f>
        <v>0</v>
      </c>
      <c r="R129" s="239" t="str">
        <f>IF(Q129,LineBreak&amp;Indent&amp;"9.1     Comment Needed about 'Other' training","")</f>
        <v/>
      </c>
      <c r="S129" s="240"/>
      <c r="T129" s="240"/>
      <c r="U129" s="228"/>
      <c r="V129" s="198" t="s">
        <v>331</v>
      </c>
      <c r="W129" s="244">
        <f t="shared" ca="1" si="45"/>
        <v>1</v>
      </c>
      <c r="X129" s="314" t="str">
        <f>IF(R128=0,"",LineBreak &amp;Indent&amp; "NOTE:   "&amp;   R128)</f>
        <v xml:space="preserve"> 
                 NOTE:   </v>
      </c>
      <c r="Y129" s="224" t="b">
        <f>$U$126=Started</f>
        <v>0</v>
      </c>
      <c r="Z129" s="231" t="str">
        <f t="shared" si="41"/>
        <v/>
      </c>
      <c r="AA129" s="228"/>
      <c r="AB129" s="14"/>
      <c r="AD129" s="276" t="s">
        <v>388</v>
      </c>
      <c r="AE129" s="283">
        <v>26</v>
      </c>
      <c r="AF129" s="269" t="e">
        <f ca="1">IF(OR(AF131&lt;&gt;"", AF125&lt;&gt;"",AF126&lt;&gt;""  ),"",
IF(AND(MOD(INDIRECT(AF$113),$AE129)=0,INDIRECT(AF$113)&lt;&gt;"",INDIRECT(AF$113)&lt;&gt;0),
 AF133&amp;" '"&amp;INDIRECT(AF$113)&amp; "',  So this could be  '"&amp;INDIRECT(AF$113)/$AE129&amp;"' "&amp;$AV129,""))</f>
        <v>#VALUE!</v>
      </c>
      <c r="AG129" s="270" t="str">
        <f t="shared" ref="AG129:AT129" ca="1" si="47">IF(OR(AG131&lt;&gt;"", AG125&lt;&gt;"",AG126&lt;&gt;""  ),"",
IF(AND(MOD(INDIRECT(AG$113),$AE129)=0,INDIRECT(AG$113)&lt;&gt;"",INDIRECT(AG$113)&lt;&gt;0),
 AG133&amp;" '"&amp;INDIRECT(AG$113)&amp; "',  So this could be  '"&amp;INDIRECT(AG$113)/$AE129&amp;"' "&amp;$AV129,""))</f>
        <v/>
      </c>
      <c r="AH129" s="270" t="str">
        <f t="shared" ca="1" si="47"/>
        <v/>
      </c>
      <c r="AI129" s="270" t="str">
        <f t="shared" ca="1" si="47"/>
        <v/>
      </c>
      <c r="AJ129" s="270" t="str">
        <f t="shared" ca="1" si="47"/>
        <v/>
      </c>
      <c r="AK129" s="270" t="str">
        <f t="shared" ca="1" si="47"/>
        <v/>
      </c>
      <c r="AL129" s="270" t="str">
        <f t="shared" ca="1" si="47"/>
        <v/>
      </c>
      <c r="AM129" s="270" t="str">
        <f t="shared" ca="1" si="47"/>
        <v/>
      </c>
      <c r="AN129" s="270" t="str">
        <f t="shared" ca="1" si="47"/>
        <v/>
      </c>
      <c r="AO129" s="270" t="str">
        <f t="shared" ca="1" si="47"/>
        <v/>
      </c>
      <c r="AP129" s="270" t="e">
        <f t="shared" ca="1" si="47"/>
        <v>#REF!</v>
      </c>
      <c r="AQ129" s="270" t="e">
        <f t="shared" ca="1" si="47"/>
        <v>#REF!</v>
      </c>
      <c r="AR129" s="270" t="e">
        <f t="shared" ca="1" si="47"/>
        <v>#REF!</v>
      </c>
      <c r="AS129" s="270" t="e">
        <f t="shared" ca="1" si="47"/>
        <v>#REF!</v>
      </c>
      <c r="AT129" s="271" t="e">
        <f t="shared" ca="1" si="47"/>
        <v>#REF!</v>
      </c>
      <c r="AU129" s="268">
        <v>3</v>
      </c>
      <c r="AV129" s="250" t="str">
        <f>" every 2 weeks?"</f>
        <v xml:space="preserve"> every 2 weeks?</v>
      </c>
    </row>
    <row r="130" spans="1:48" s="11" customFormat="1" ht="13.5" customHeight="1" thickBot="1" x14ac:dyDescent="0.35">
      <c r="A130" s="10"/>
      <c r="C130" s="84"/>
      <c r="D130" s="84"/>
      <c r="M130"/>
      <c r="N130"/>
      <c r="O130" s="338"/>
      <c r="Q130" s="2"/>
      <c r="R130" s="2"/>
      <c r="S130" s="2"/>
      <c r="T130" s="301" t="s">
        <v>17</v>
      </c>
      <c r="U130" s="224" t="str">
        <f>IF(U131+U140=0,NotStarted,
IF(U131+U140=8,Finished,Started))</f>
        <v xml:space="preserve">       &lt; Not Started &gt;</v>
      </c>
      <c r="V130" s="198" t="s">
        <v>389</v>
      </c>
      <c r="W130" s="244">
        <f t="shared" ca="1" si="45"/>
        <v>1</v>
      </c>
      <c r="X130" s="314" t="str">
        <f ca="1">IF(W130=0,LineBreak&amp;Indent&amp;A128&amp;"    "&amp;D128&amp;" of "&amp;B128,"")</f>
        <v/>
      </c>
      <c r="Y130" s="224" t="b">
        <f>$U$126=Started</f>
        <v>0</v>
      </c>
      <c r="Z130" s="231" t="str">
        <f t="shared" si="41"/>
        <v/>
      </c>
      <c r="AA130" s="228"/>
      <c r="AB130" s="2"/>
      <c r="AD130" s="276" t="str">
        <f t="shared" ref="AD130" si="48">"="</f>
        <v>=</v>
      </c>
      <c r="AE130" s="283" t="s">
        <v>390</v>
      </c>
      <c r="AF130" s="269" t="str">
        <f ca="1">IF(AND(INDIRECT(AF$113)&lt;$AE131,INDIRECT(AF$113)&gt;$AE129,INDIRECT(AF$113)&lt;&gt;""),
AF$133&amp;"  '"&amp;INDIRECT(AF$113)&amp;"' "&amp;$AV130,"")</f>
        <v/>
      </c>
      <c r="AG130" s="270" t="str">
        <f t="shared" ref="AG130:AT130" ca="1" si="49">IF(AND(INDIRECT(AG$113)&lt;$AE131,INDIRECT(AG$113)&gt;$AE129,INDIRECT(AG$113)&lt;&gt;""),
AG$133&amp;"  '"&amp;INDIRECT(AG$113)&amp;"' "&amp;$AV130,"")</f>
        <v/>
      </c>
      <c r="AH130" s="270" t="str">
        <f t="shared" ca="1" si="49"/>
        <v/>
      </c>
      <c r="AI130" s="270" t="str">
        <f t="shared" ca="1" si="49"/>
        <v/>
      </c>
      <c r="AJ130" s="270" t="str">
        <f t="shared" ca="1" si="49"/>
        <v/>
      </c>
      <c r="AK130" s="270" t="str">
        <f t="shared" ca="1" si="49"/>
        <v/>
      </c>
      <c r="AL130" s="270" t="str">
        <f t="shared" ca="1" si="49"/>
        <v/>
      </c>
      <c r="AM130" s="270" t="str">
        <f t="shared" ca="1" si="49"/>
        <v/>
      </c>
      <c r="AN130" s="270" t="str">
        <f t="shared" ca="1" si="49"/>
        <v/>
      </c>
      <c r="AO130" s="270" t="str">
        <f t="shared" ca="1" si="49"/>
        <v/>
      </c>
      <c r="AP130" s="270" t="e">
        <f t="shared" ca="1" si="49"/>
        <v>#REF!</v>
      </c>
      <c r="AQ130" s="270" t="e">
        <f t="shared" ca="1" si="49"/>
        <v>#REF!</v>
      </c>
      <c r="AR130" s="270" t="e">
        <f t="shared" ca="1" si="49"/>
        <v>#REF!</v>
      </c>
      <c r="AS130" s="270" t="e">
        <f t="shared" ca="1" si="49"/>
        <v>#REF!</v>
      </c>
      <c r="AT130" s="271" t="e">
        <f t="shared" ca="1" si="49"/>
        <v>#REF!</v>
      </c>
      <c r="AU130" s="268">
        <v>4</v>
      </c>
      <c r="AV130" s="250" t="s">
        <v>391</v>
      </c>
    </row>
    <row r="131" spans="1:48" s="11" customFormat="1" ht="18" customHeight="1" thickBot="1" x14ac:dyDescent="0.35">
      <c r="A131" s="50" t="s">
        <v>392</v>
      </c>
      <c r="C131" s="505" t="s">
        <v>317</v>
      </c>
      <c r="F131" s="499"/>
      <c r="G131" s="499"/>
      <c r="H131" s="499"/>
      <c r="I131" s="499"/>
      <c r="M131"/>
      <c r="N131"/>
      <c r="O131" s="325"/>
      <c r="Q131" s="2"/>
      <c r="R131" s="2"/>
      <c r="S131" s="2"/>
      <c r="T131" s="2"/>
      <c r="U131" s="300">
        <f>COUNTIF(C133:C138,"&gt;=0")</f>
        <v>0</v>
      </c>
      <c r="V131" s="198" t="s">
        <v>331</v>
      </c>
      <c r="W131" s="244">
        <f t="shared" ref="W131:W138" ca="1" si="50">IF( ISERROR(IF(OR(INDIRECT(V131)=0,INDIRECT(V131)=""),1,0)),"",IF(OR(INDIRECT(V131)=0,INDIRECT(V131)=""),1,0))</f>
        <v>1</v>
      </c>
      <c r="X131" s="314" t="str">
        <f ca="1">IF(HLOOKUP(V131,TblAnnualStatsComments,18,FALSE)="","",LineBreak&amp;Indent&amp;HLOOKUP(V131,TblAnnualStatsComments,18,FALSE))</f>
        <v/>
      </c>
      <c r="Y131" s="224" t="b">
        <f>$U$126=Started</f>
        <v>0</v>
      </c>
      <c r="Z131" s="231" t="str">
        <f t="shared" si="41"/>
        <v/>
      </c>
      <c r="AA131" s="228"/>
      <c r="AB131" s="2"/>
      <c r="AD131" s="276" t="s">
        <v>393</v>
      </c>
      <c r="AE131" s="283">
        <v>52</v>
      </c>
      <c r="AF131" s="269" t="e">
        <f ca="1">IF(OR( AF125&lt;&gt;"",AF126&lt;&gt;""  ),"",
IF(AND(MOD(INDIRECT(AF$113),$AE131)=0,INDIRECT(AF$113)&lt;&gt;"",INDIRECT(AF$113)&lt;&gt;0),
AF133&amp;" '"&amp;INDIRECT(AF$113)&amp;"'    So this could be  '"&amp;INDIRECT(AF$113)/$AE131&amp;"' "&amp;$AV131,""))</f>
        <v>#VALUE!</v>
      </c>
      <c r="AG131" s="270" t="str">
        <f t="shared" ref="AG131:AT131" ca="1" si="51">IF(OR( AG125&lt;&gt;"",AG126&lt;&gt;""  ),"",
IF(AND(MOD(INDIRECT(AG$113),$AE131)=0,INDIRECT(AG$113)&lt;&gt;"",INDIRECT(AG$113)&lt;&gt;0),
AG133&amp;" '"&amp;INDIRECT(AG$113)&amp;"'    So this could be  '"&amp;INDIRECT(AG$113)/$AE131&amp;"' "&amp;$AV131,""))</f>
        <v/>
      </c>
      <c r="AH131" s="270" t="str">
        <f t="shared" ca="1" si="51"/>
        <v/>
      </c>
      <c r="AI131" s="270" t="str">
        <f t="shared" ca="1" si="51"/>
        <v/>
      </c>
      <c r="AJ131" s="270" t="str">
        <f t="shared" ca="1" si="51"/>
        <v/>
      </c>
      <c r="AK131" s="270" t="str">
        <f t="shared" ca="1" si="51"/>
        <v/>
      </c>
      <c r="AL131" s="270" t="str">
        <f t="shared" ca="1" si="51"/>
        <v/>
      </c>
      <c r="AM131" s="270" t="str">
        <f t="shared" ca="1" si="51"/>
        <v/>
      </c>
      <c r="AN131" s="270" t="str">
        <f t="shared" ca="1" si="51"/>
        <v/>
      </c>
      <c r="AO131" s="270" t="str">
        <f t="shared" ca="1" si="51"/>
        <v/>
      </c>
      <c r="AP131" s="270" t="e">
        <f t="shared" ca="1" si="51"/>
        <v>#REF!</v>
      </c>
      <c r="AQ131" s="270" t="e">
        <f t="shared" ca="1" si="51"/>
        <v>#REF!</v>
      </c>
      <c r="AR131" s="270" t="e">
        <f t="shared" ca="1" si="51"/>
        <v>#REF!</v>
      </c>
      <c r="AS131" s="270" t="e">
        <f t="shared" ca="1" si="51"/>
        <v>#REF!</v>
      </c>
      <c r="AT131" s="271" t="e">
        <f t="shared" ca="1" si="51"/>
        <v>#REF!</v>
      </c>
      <c r="AU131" s="268">
        <v>5</v>
      </c>
      <c r="AV131" s="250" t="s">
        <v>394</v>
      </c>
    </row>
    <row r="132" spans="1:48" s="46" customFormat="1" ht="19.5" customHeight="1" thickBot="1" x14ac:dyDescent="0.35">
      <c r="A132" s="128"/>
      <c r="B132" s="124" t="s">
        <v>395</v>
      </c>
      <c r="C132" s="506"/>
      <c r="D132" s="112"/>
      <c r="E132" s="459" t="s">
        <v>105</v>
      </c>
      <c r="F132" s="478"/>
      <c r="G132" s="478"/>
      <c r="H132" s="478"/>
      <c r="I132" s="478"/>
      <c r="J132" s="478"/>
      <c r="K132" s="478"/>
      <c r="L132" s="460"/>
      <c r="M132"/>
      <c r="N132"/>
      <c r="O132" s="338"/>
      <c r="Q132" s="2"/>
      <c r="R132" s="2"/>
      <c r="S132" s="2"/>
      <c r="T132" s="2"/>
      <c r="U132" s="2"/>
      <c r="V132" s="198" t="s">
        <v>396</v>
      </c>
      <c r="W132" s="244">
        <f t="shared" ca="1" si="50"/>
        <v>0</v>
      </c>
      <c r="X132" s="314" t="str">
        <f>LineBreak&amp;LineBreak&amp;"    "&amp;A131&amp;"  "&amp;LEFT(B131,60)&amp;":  "&amp;U130</f>
        <v xml:space="preserve"> 
    Induction   :         &lt; Not Started &gt;</v>
      </c>
      <c r="Y132" s="224" t="b">
        <f>$U$125=Started</f>
        <v>0</v>
      </c>
      <c r="Z132" s="231" t="str">
        <f t="shared" si="41"/>
        <v/>
      </c>
      <c r="AA132" s="228"/>
      <c r="AB132" s="2"/>
      <c r="AC132" s="11"/>
      <c r="AD132" s="276" t="str">
        <f>"&gt;"</f>
        <v>&gt;</v>
      </c>
      <c r="AE132" s="285">
        <v>52</v>
      </c>
      <c r="AF132" s="269" t="e">
        <f ca="1">IF(OR( AF125&lt;&gt;"",AF126&lt;&gt;""  ),"",
IF(AND(INDIRECT(AF$113)&gt;$AE132,INDIRECT(AF$113)&lt;&gt;"",LEN(AF131)&lt;2,LEN(AF129)&lt;2),
AF$133&amp;"  '"&amp;INDIRECT(AF$113)&amp;"' "&amp;$AV132,""))</f>
        <v>#VALUE!</v>
      </c>
      <c r="AG132" s="270" t="str">
        <f t="shared" ref="AG132:AT132" ca="1" si="52">IF(OR( AG125&lt;&gt;"",AG126&lt;&gt;""  ),"",
IF(AND(INDIRECT(AG$113)&gt;$AE132,INDIRECT(AG$113)&lt;&gt;"",LEN(AG131)&lt;2,LEN(AG129)&lt;2),
AG$133&amp;"  '"&amp;INDIRECT(AG$113)&amp;"' "&amp;$AV132,""))</f>
        <v/>
      </c>
      <c r="AH132" s="270" t="str">
        <f t="shared" ca="1" si="52"/>
        <v/>
      </c>
      <c r="AI132" s="270" t="str">
        <f t="shared" ca="1" si="52"/>
        <v/>
      </c>
      <c r="AJ132" s="270" t="str">
        <f t="shared" ca="1" si="52"/>
        <v/>
      </c>
      <c r="AK132" s="270" t="str">
        <f t="shared" ca="1" si="52"/>
        <v/>
      </c>
      <c r="AL132" s="270" t="str">
        <f t="shared" ca="1" si="52"/>
        <v/>
      </c>
      <c r="AM132" s="270" t="str">
        <f t="shared" ca="1" si="52"/>
        <v/>
      </c>
      <c r="AN132" s="270" t="str">
        <f t="shared" ca="1" si="52"/>
        <v/>
      </c>
      <c r="AO132" s="270" t="str">
        <f t="shared" ca="1" si="52"/>
        <v/>
      </c>
      <c r="AP132" s="270" t="e">
        <f t="shared" ca="1" si="52"/>
        <v>#REF!</v>
      </c>
      <c r="AQ132" s="270" t="e">
        <f t="shared" ca="1" si="52"/>
        <v>#REF!</v>
      </c>
      <c r="AR132" s="270" t="e">
        <f t="shared" ca="1" si="52"/>
        <v>#REF!</v>
      </c>
      <c r="AS132" s="270" t="e">
        <f t="shared" ca="1" si="52"/>
        <v>#REF!</v>
      </c>
      <c r="AT132" s="271" t="e">
        <f t="shared" ca="1" si="52"/>
        <v>#REF!</v>
      </c>
      <c r="AU132" s="268">
        <v>6</v>
      </c>
      <c r="AV132" s="250" t="s">
        <v>397</v>
      </c>
    </row>
    <row r="133" spans="1:48" s="46" customFormat="1" x14ac:dyDescent="0.3">
      <c r="A133" s="123" t="s">
        <v>398</v>
      </c>
      <c r="B133" s="384" t="s">
        <v>399</v>
      </c>
      <c r="C133" s="141"/>
      <c r="D133" s="112"/>
      <c r="E133" s="482"/>
      <c r="F133" s="483"/>
      <c r="G133" s="483"/>
      <c r="H133" s="483"/>
      <c r="I133" s="483"/>
      <c r="J133" s="483"/>
      <c r="K133" s="483"/>
      <c r="L133" s="484"/>
      <c r="M133"/>
      <c r="N133"/>
      <c r="O133" s="338" t="str">
        <f>U130</f>
        <v xml:space="preserve">       &lt; Not Started &gt;</v>
      </c>
      <c r="Q133" s="2"/>
      <c r="R133" s="2"/>
      <c r="S133" s="2"/>
      <c r="T133" s="314"/>
      <c r="U133" s="2"/>
      <c r="V133" s="198" t="s">
        <v>400</v>
      </c>
      <c r="W133" s="244">
        <f t="shared" ca="1" si="50"/>
        <v>1</v>
      </c>
      <c r="X133" s="199" t="str">
        <f t="shared" ref="X133:X138" si="53">LineBreak&amp;Indent&amp;A133&amp;"  "&amp;"No inductions for "&amp;B133 &amp;"……  Enter 0 if this is true"</f>
        <v xml:space="preserve"> 
                 9.3a  No inductions for Corporate/organisational?……  Enter 0 if this is true</v>
      </c>
      <c r="Y133" s="224" t="b">
        <f t="shared" ref="Y133:Y139" si="54">AND(C133="",$U$126=Started)</f>
        <v>0</v>
      </c>
      <c r="Z133" s="231" t="str">
        <f t="shared" si="41"/>
        <v/>
      </c>
      <c r="AA133" s="228"/>
      <c r="AB133" s="2"/>
      <c r="AC133" s="254"/>
      <c r="AD133" s="273" t="s">
        <v>401</v>
      </c>
      <c r="AE133" s="274"/>
      <c r="AF133" s="260" t="str">
        <f t="shared" ref="AF133:AT133" ca="1" si="55">AF112&amp;":   "&amp;AF115&amp;"…("&amp;AF113&amp;")"</f>
        <v>Information Consultancy Service take-up (click on number hyperlink for guidance):   …(C117)</v>
      </c>
      <c r="AG133" s="254" t="str">
        <f t="shared" ca="1" si="55"/>
        <v>8.5a:   ber of mediated literature sea…(C118)</v>
      </c>
      <c r="AH133" s="254" t="str">
        <f t="shared" ca="1" si="55"/>
        <v>8.5b:   diaiated literature searches h…(C119)</v>
      </c>
      <c r="AI133" s="254" t="str">
        <f t="shared" ca="1" si="55"/>
        <v>0:   …(C124)</v>
      </c>
      <c r="AJ133" s="254" t="str">
        <f t="shared" ca="1" si="55"/>
        <v>9:   ATION &amp; INDUCTION…(C125)</v>
      </c>
      <c r="AK133" s="254" t="str">
        <f t="shared" ca="1" si="55"/>
        <v>9.3e:   1:1 for new users (e.g. ad hoc…(C137)</v>
      </c>
      <c r="AL133" s="254" t="str">
        <f t="shared" ca="1" si="55"/>
        <v>6.1:   Loans (ILLs) received from oth…(c104)</v>
      </c>
      <c r="AM133" s="254" t="str">
        <f t="shared" ca="1" si="55"/>
        <v>5.1:   Copies etc. made by LKS staff …(c100)</v>
      </c>
      <c r="AN133" s="254" t="str">
        <f t="shared" ca="1" si="55"/>
        <v>5.2:   Copies etc. made by LKS staff …(c101)</v>
      </c>
      <c r="AO133" s="254" t="str">
        <f t="shared" ca="1" si="55"/>
        <v>7.1:   Copies etc. receiv…(C107)</v>
      </c>
      <c r="AP133" s="254" t="e">
        <f t="shared" ca="1" si="55"/>
        <v>#REF!</v>
      </c>
      <c r="AQ133" s="254" t="e">
        <f t="shared" ca="1" si="55"/>
        <v>#REF!</v>
      </c>
      <c r="AR133" s="254" t="e">
        <f t="shared" ca="1" si="55"/>
        <v>#REF!</v>
      </c>
      <c r="AS133" s="254" t="e">
        <f t="shared" ca="1" si="55"/>
        <v>#REF!</v>
      </c>
      <c r="AT133" s="261" t="e">
        <f t="shared" ca="1" si="55"/>
        <v>#REF!</v>
      </c>
      <c r="AU133" s="265"/>
    </row>
    <row r="134" spans="1:48" s="46" customFormat="1" ht="13.5" thickBot="1" x14ac:dyDescent="0.35">
      <c r="A134" s="123" t="s">
        <v>402</v>
      </c>
      <c r="B134" s="124" t="s">
        <v>403</v>
      </c>
      <c r="C134" s="142"/>
      <c r="D134" s="112"/>
      <c r="E134" s="482"/>
      <c r="F134" s="483"/>
      <c r="G134" s="483"/>
      <c r="H134" s="483"/>
      <c r="I134" s="483"/>
      <c r="J134" s="483"/>
      <c r="K134" s="483"/>
      <c r="L134" s="484"/>
      <c r="M134"/>
      <c r="N134"/>
      <c r="O134" s="338"/>
      <c r="Q134" s="2"/>
      <c r="R134" s="2"/>
      <c r="S134" s="2"/>
      <c r="T134" s="2"/>
      <c r="U134" s="2"/>
      <c r="V134" s="198" t="s">
        <v>404</v>
      </c>
      <c r="W134" s="244">
        <f t="shared" ca="1" si="50"/>
        <v>1</v>
      </c>
      <c r="X134" s="199" t="str">
        <f t="shared" si="53"/>
        <v xml:space="preserve"> 
                 9.3b  No inductions for Junior doctors?……  Enter 0 if this is true</v>
      </c>
      <c r="Y134" s="224" t="b">
        <f t="shared" si="54"/>
        <v>0</v>
      </c>
      <c r="Z134" s="231" t="str">
        <f t="shared" si="41"/>
        <v/>
      </c>
      <c r="AA134" s="228"/>
      <c r="AB134" s="2"/>
      <c r="AC134" s="252"/>
      <c r="AD134" s="253" t="s">
        <v>405</v>
      </c>
      <c r="AE134" s="252"/>
      <c r="AF134" s="262" t="e">
        <f ca="1">concatenateRange(AF125:AF132,"")</f>
        <v>#VALUE!</v>
      </c>
      <c r="AG134" s="263" t="str">
        <f t="shared" ref="AG134:AS134" ca="1" si="56">concatenateRange(AG125:AG132,"")</f>
        <v>8.5a:   ber of mediated literature sea…(C118)   ''  Nothing to record?  Please add  '0'  or NA  or  NK  to confirm</v>
      </c>
      <c r="AH134" s="263" t="str">
        <f t="shared" ca="1" si="56"/>
        <v>8.5b:   diaiated literature searches h…(C119)   ''  Nothing to record?  Please add  '0'  or NA  or  NK  to confirm</v>
      </c>
      <c r="AI134" s="263" t="str">
        <f t="shared" ca="1" si="56"/>
        <v>0:   …(C124)   ''  Nothing to record?  Please add  '0'  or NA  or  NK  to confirm</v>
      </c>
      <c r="AJ134" s="263" t="str">
        <f t="shared" ca="1" si="56"/>
        <v>9:   ATION &amp; INDUCTION…(C125)   ''  Nothing to record?  Please add  '0'  or NA  or  NK  to confirm</v>
      </c>
      <c r="AK134" s="263" t="str">
        <f t="shared" ca="1" si="56"/>
        <v>9.3e:   1:1 for new users (e.g. ad hoc…(C137)   ''  Nothing to record?  Please add  '0'  or NA  or  NK  to confirm</v>
      </c>
      <c r="AL134" s="263" t="str">
        <f t="shared" ca="1" si="56"/>
        <v/>
      </c>
      <c r="AM134" s="263" t="str">
        <f t="shared" ca="1" si="56"/>
        <v>5.1:   Copies etc. made by LKS staff …(c100)   ''  Nothing to record?  Please add  '0'  or NA  or  NK  to confirm</v>
      </c>
      <c r="AN134" s="263" t="str">
        <f t="shared" ca="1" si="56"/>
        <v>5.2:   Copies etc. made by LKS staff …(c101)   ''  Nothing to record?  Please add  '0'  or NA  or  NK  to confirm</v>
      </c>
      <c r="AO134" s="263" t="str">
        <f t="shared" ca="1" si="56"/>
        <v>7.1:   Copies etc. receiv…(C107)   ''  Nothing to record?  Please add  '0'  or NA  or  NK  to confirm</v>
      </c>
      <c r="AP134" s="263" t="e">
        <f t="shared" ca="1" si="56"/>
        <v>#REF!</v>
      </c>
      <c r="AQ134" s="263" t="e">
        <f t="shared" ca="1" si="56"/>
        <v>#REF!</v>
      </c>
      <c r="AR134" s="263" t="e">
        <f t="shared" ca="1" si="56"/>
        <v>#REF!</v>
      </c>
      <c r="AS134" s="263" t="e">
        <f t="shared" ca="1" si="56"/>
        <v>#REF!</v>
      </c>
      <c r="AT134" s="264" t="e">
        <f ca="1">concatenateRange(AT125:AT132,"")</f>
        <v>#REF!</v>
      </c>
      <c r="AU134" s="265"/>
    </row>
    <row r="135" spans="1:48" s="46" customFormat="1" x14ac:dyDescent="0.3">
      <c r="A135" s="123" t="s">
        <v>406</v>
      </c>
      <c r="B135" s="124" t="s">
        <v>407</v>
      </c>
      <c r="C135" s="142"/>
      <c r="D135" s="112"/>
      <c r="E135" s="482"/>
      <c r="F135" s="483"/>
      <c r="G135" s="483"/>
      <c r="H135" s="483"/>
      <c r="I135" s="483"/>
      <c r="J135" s="483"/>
      <c r="K135" s="483"/>
      <c r="L135" s="484"/>
      <c r="M135"/>
      <c r="N135"/>
      <c r="O135" s="338"/>
      <c r="Q135" s="2"/>
      <c r="R135" s="2"/>
      <c r="S135" s="2"/>
      <c r="T135" s="2"/>
      <c r="U135" s="2"/>
      <c r="V135" s="198" t="s">
        <v>408</v>
      </c>
      <c r="W135" s="244">
        <f t="shared" ca="1" si="50"/>
        <v>0</v>
      </c>
      <c r="X135" s="199" t="str">
        <f t="shared" si="53"/>
        <v xml:space="preserve"> 
                 9.3c  No inductions for Nursing/midwifery students?……  Enter 0 if this is true</v>
      </c>
      <c r="Y135" s="224" t="b">
        <f t="shared" si="54"/>
        <v>0</v>
      </c>
      <c r="Z135" s="231" t="str">
        <f t="shared" si="41"/>
        <v/>
      </c>
      <c r="AA135" s="228"/>
      <c r="AB135" s="2"/>
      <c r="AF135" s="124"/>
      <c r="AG135" s="265"/>
      <c r="AH135" s="265"/>
      <c r="AI135" s="265"/>
      <c r="AJ135" s="265"/>
      <c r="AK135" s="265"/>
      <c r="AL135" s="265"/>
      <c r="AM135" s="265"/>
      <c r="AN135" s="265"/>
      <c r="AO135" s="265"/>
      <c r="AP135" s="265"/>
      <c r="AQ135" s="265"/>
      <c r="AR135" s="265"/>
      <c r="AS135" s="265"/>
      <c r="AT135" s="265"/>
      <c r="AU135" s="265"/>
    </row>
    <row r="136" spans="1:48" s="46" customFormat="1" ht="13.5" customHeight="1" x14ac:dyDescent="0.3">
      <c r="A136" s="123" t="s">
        <v>409</v>
      </c>
      <c r="B136" s="124" t="s">
        <v>410</v>
      </c>
      <c r="C136" s="142"/>
      <c r="D136" s="112"/>
      <c r="E136" s="482"/>
      <c r="F136" s="483"/>
      <c r="G136" s="483"/>
      <c r="H136" s="483"/>
      <c r="I136" s="483"/>
      <c r="J136" s="483"/>
      <c r="K136" s="483"/>
      <c r="L136" s="484"/>
      <c r="M136"/>
      <c r="N136"/>
      <c r="O136" s="338"/>
      <c r="Q136" s="2"/>
      <c r="R136" s="2"/>
      <c r="S136" s="2"/>
      <c r="T136" s="2"/>
      <c r="U136" s="2"/>
      <c r="V136" s="198" t="s">
        <v>411</v>
      </c>
      <c r="W136" s="244">
        <f t="shared" ca="1" si="50"/>
        <v>1</v>
      </c>
      <c r="X136" s="199" t="str">
        <f t="shared" si="53"/>
        <v xml:space="preserve"> 
                 9.3d  No inductions for Undergraduate medical students?……  Enter 0 if this is true</v>
      </c>
      <c r="Y136" s="224" t="b">
        <f t="shared" si="54"/>
        <v>0</v>
      </c>
      <c r="Z136" s="231" t="str">
        <f t="shared" si="41"/>
        <v/>
      </c>
      <c r="AA136" s="228"/>
      <c r="AB136" s="2"/>
      <c r="AF136" s="46" t="e">
        <f ca="1">AF134</f>
        <v>#VALUE!</v>
      </c>
    </row>
    <row r="137" spans="1:48" s="46" customFormat="1" ht="13.5" customHeight="1" x14ac:dyDescent="0.3">
      <c r="A137" s="123" t="s">
        <v>412</v>
      </c>
      <c r="B137" s="124" t="s">
        <v>413</v>
      </c>
      <c r="C137" s="151"/>
      <c r="D137" s="112"/>
      <c r="E137" s="482"/>
      <c r="F137" s="483"/>
      <c r="G137" s="483"/>
      <c r="H137" s="483"/>
      <c r="I137" s="483"/>
      <c r="J137" s="483"/>
      <c r="K137" s="483"/>
      <c r="L137" s="484"/>
      <c r="M137"/>
      <c r="N137"/>
      <c r="O137" s="338"/>
      <c r="Q137" s="2"/>
      <c r="R137" s="2"/>
      <c r="S137" s="2"/>
      <c r="T137" s="2"/>
      <c r="U137" s="2"/>
      <c r="V137" s="198" t="s">
        <v>414</v>
      </c>
      <c r="W137" s="244">
        <f t="shared" ca="1" si="50"/>
        <v>1</v>
      </c>
      <c r="X137" s="199" t="str">
        <f t="shared" si="53"/>
        <v xml:space="preserve"> 
                 9.3e  No inductions for 1:1 for new users (e.g. ad hoc inductions in the library)?……  Enter 0 if this is true</v>
      </c>
      <c r="Y137" s="224" t="b">
        <f t="shared" si="54"/>
        <v>0</v>
      </c>
      <c r="Z137" s="231" t="str">
        <f t="shared" si="41"/>
        <v/>
      </c>
      <c r="AA137" s="228"/>
      <c r="AB137" s="2"/>
      <c r="AG137" s="46" t="str">
        <f ca="1">AG134</f>
        <v>8.5a:   ber of mediated literature sea…(C118)   ''  Nothing to record?  Please add  '0'  or NA  or  NK  to confirm</v>
      </c>
    </row>
    <row r="138" spans="1:48" s="46" customFormat="1" ht="13.5" thickBot="1" x14ac:dyDescent="0.35">
      <c r="A138" s="123" t="s">
        <v>415</v>
      </c>
      <c r="B138" s="124" t="s">
        <v>416</v>
      </c>
      <c r="C138" s="143"/>
      <c r="D138" s="112"/>
      <c r="E138" s="485"/>
      <c r="F138" s="486"/>
      <c r="G138" s="486"/>
      <c r="H138" s="486"/>
      <c r="I138" s="486"/>
      <c r="J138" s="486"/>
      <c r="K138" s="486"/>
      <c r="L138" s="487"/>
      <c r="M138"/>
      <c r="N138"/>
      <c r="O138" s="338"/>
      <c r="Q138" s="2"/>
      <c r="R138" s="2"/>
      <c r="S138" s="2"/>
      <c r="T138" s="2"/>
      <c r="U138" s="2"/>
      <c r="V138" s="198" t="s">
        <v>417</v>
      </c>
      <c r="W138" s="244">
        <f t="shared" ca="1" si="50"/>
        <v>1</v>
      </c>
      <c r="X138" s="199" t="str">
        <f t="shared" si="53"/>
        <v xml:space="preserve"> 
                 9.3f  No inductions for Other (i.e. all staff groups not listed above - please specify in comment)?……  Enter 0 if this is true</v>
      </c>
      <c r="Y138" s="224" t="b">
        <f t="shared" si="54"/>
        <v>0</v>
      </c>
      <c r="Z138" s="231" t="str">
        <f t="shared" si="41"/>
        <v/>
      </c>
      <c r="AA138" s="228"/>
      <c r="AB138" s="2"/>
      <c r="AH138" s="46" t="str">
        <f ca="1">AH134</f>
        <v>8.5b:   diaiated literature searches h…(C119)   ''  Nothing to record?  Please add  '0'  or NA  or  NK  to confirm</v>
      </c>
    </row>
    <row r="139" spans="1:48" s="46" customFormat="1" ht="13.5" thickBot="1" x14ac:dyDescent="0.35">
      <c r="A139" s="123"/>
      <c r="B139" s="124"/>
      <c r="C139" s="112"/>
      <c r="D139" s="112"/>
      <c r="F139" s="113"/>
      <c r="G139" s="113"/>
      <c r="H139" s="113"/>
      <c r="I139" s="113"/>
      <c r="L139" s="11"/>
      <c r="M139"/>
      <c r="N139"/>
      <c r="O139" s="325"/>
      <c r="Q139" s="2"/>
      <c r="R139" s="2"/>
      <c r="S139" s="2"/>
      <c r="T139" s="2"/>
      <c r="U139" s="2"/>
      <c r="V139" s="198"/>
      <c r="W139" s="198"/>
      <c r="X139" s="199"/>
      <c r="Y139" s="224" t="b">
        <f t="shared" si="54"/>
        <v>0</v>
      </c>
      <c r="Z139" s="231" t="str">
        <f t="shared" si="41"/>
        <v/>
      </c>
      <c r="AA139" s="228"/>
      <c r="AB139" s="2"/>
      <c r="AI139" s="46" t="str">
        <f ca="1">AI134</f>
        <v>0:   …(C124)   ''  Nothing to record?  Please add  '0'  or NA  or  NK  to confirm</v>
      </c>
    </row>
    <row r="140" spans="1:48" s="46" customFormat="1" ht="18.75" customHeight="1" thickBot="1" x14ac:dyDescent="0.35">
      <c r="A140" s="123"/>
      <c r="B140" s="124"/>
      <c r="C140" s="120" t="s">
        <v>418</v>
      </c>
      <c r="D140" s="112"/>
      <c r="E140" s="450" t="s">
        <v>105</v>
      </c>
      <c r="F140" s="451"/>
      <c r="G140" s="451"/>
      <c r="H140" s="451"/>
      <c r="I140" s="451"/>
      <c r="J140" s="451"/>
      <c r="K140" s="451"/>
      <c r="L140" s="452"/>
      <c r="M140"/>
      <c r="N140"/>
      <c r="O140" s="338"/>
      <c r="Q140" s="2"/>
      <c r="R140" s="2"/>
      <c r="S140" s="2"/>
      <c r="T140" s="2"/>
      <c r="U140" s="299">
        <f>COUNTA(C141:C142)</f>
        <v>0</v>
      </c>
      <c r="V140" s="198"/>
      <c r="W140" s="198"/>
      <c r="X140" s="199" t="str">
        <f>LineBreak&amp;LineBreak&amp;"    "&amp;"Induction Sessions: "&amp;U130</f>
        <v xml:space="preserve"> 
    Induction Sessions:        &lt; Not Started &gt;</v>
      </c>
      <c r="Y140" s="224" t="b">
        <f>U125=Started</f>
        <v>0</v>
      </c>
      <c r="Z140" s="231" t="str">
        <f t="shared" si="41"/>
        <v/>
      </c>
      <c r="AA140" s="228"/>
      <c r="AB140" s="2"/>
      <c r="AJ140" s="46" t="str">
        <f ca="1">AJ134</f>
        <v>9:   ATION &amp; INDUCTION…(C125)   ''  Nothing to record?  Please add  '0'  or NA  or  NK  to confirm</v>
      </c>
    </row>
    <row r="141" spans="1:48" s="46" customFormat="1" ht="18" customHeight="1" x14ac:dyDescent="0.3">
      <c r="A141" s="123">
        <v>9.4</v>
      </c>
      <c r="B141" s="8" t="s">
        <v>419</v>
      </c>
      <c r="C141" s="246"/>
      <c r="D141" s="112"/>
      <c r="E141" s="457"/>
      <c r="F141" s="491"/>
      <c r="G141" s="491"/>
      <c r="H141" s="491"/>
      <c r="I141" s="491"/>
      <c r="J141" s="491"/>
      <c r="K141" s="491"/>
      <c r="L141" s="458"/>
      <c r="M141"/>
      <c r="N141"/>
      <c r="O141" s="338"/>
      <c r="Q141" s="2"/>
      <c r="R141" s="2"/>
      <c r="S141" s="2"/>
      <c r="T141" s="2"/>
      <c r="U141" s="2"/>
      <c r="V141" s="198" t="s">
        <v>332</v>
      </c>
      <c r="W141" s="244">
        <f t="shared" ref="W141:W142" ca="1" si="57">IF( ISERROR(IF(OR(INDIRECT(V141)=0,INDIRECT(V141)=""),1,0)),"",IF(OR(INDIRECT(V141)=0,INDIRECT(V141)=""),1,0))</f>
        <v>1</v>
      </c>
      <c r="X141" s="199" t="str">
        <f ca="1">LineBreak&amp;Indent&amp;HLOOKUP(V141,TblAnnualStatsComments,18,FALSE)</f>
        <v xml:space="preserve"> 
                 </v>
      </c>
      <c r="Y141" s="224" t="b">
        <f>$U$126=Started</f>
        <v>0</v>
      </c>
      <c r="Z141" s="231" t="str">
        <f t="shared" si="41"/>
        <v/>
      </c>
      <c r="AA141" s="228"/>
      <c r="AB141" s="2"/>
      <c r="AE141" s="46" t="s">
        <v>327</v>
      </c>
      <c r="AF141" s="46" t="str">
        <f ca="1">HLOOKUP(AE141,TblAnnualStatsComments,15,FALSE)</f>
        <v/>
      </c>
      <c r="AK141" s="46" t="str">
        <f ca="1">AK134</f>
        <v>9.3e:   1:1 for new users (e.g. ad hoc…(C137)   ''  Nothing to record?  Please add  '0'  or NA  or  NK  to confirm</v>
      </c>
    </row>
    <row r="142" spans="1:48" s="46" customFormat="1" ht="21" customHeight="1" thickBot="1" x14ac:dyDescent="0.35">
      <c r="A142" s="123">
        <v>9.5</v>
      </c>
      <c r="B142" s="436" t="s">
        <v>420</v>
      </c>
      <c r="C142" s="247"/>
      <c r="D142" s="248" t="str">
        <f>IF(C142&gt;COUNTA(B19:C33),"'"&amp;C142&amp;"' ? You've "&amp;IF(COUNTA(B19:C33)=0,"","only ") &amp;"got '"&amp;COUNTA(B19:C33)&amp;"' organisation"&amp;
IF(COUNTA(B19:C33)=1,"","s")  &amp;
" in Section C (B19) ","")</f>
        <v/>
      </c>
      <c r="E142" s="488"/>
      <c r="F142" s="489"/>
      <c r="G142" s="489"/>
      <c r="H142" s="489"/>
      <c r="I142" s="489"/>
      <c r="J142" s="489"/>
      <c r="K142" s="489"/>
      <c r="L142" s="490"/>
      <c r="M142"/>
      <c r="N142"/>
      <c r="O142" s="338"/>
      <c r="Q142" s="2"/>
      <c r="R142" s="2"/>
      <c r="S142" s="2"/>
      <c r="T142" s="2"/>
      <c r="U142" s="2"/>
      <c r="V142" s="198" t="s">
        <v>421</v>
      </c>
      <c r="W142" s="244">
        <f t="shared" ca="1" si="57"/>
        <v>1</v>
      </c>
      <c r="X142" s="199" t="str">
        <f ca="1">IF(AND( W142=0,LEN(D142)&gt;0),LineBreak&amp; Indent&amp;"9.5    Check number of organsiations that get induction."&amp;LineBreak&amp;Indent&amp; "        Organisation(s) entered = "&amp;D142,
LineBreak&amp; Indent&amp;"9.5   Enter  number of organsiations that get induction."&amp;LineBreak)</f>
        <v xml:space="preserve"> 
                 9.5   Enter  number of organsiations that get induction. 
</v>
      </c>
      <c r="Y142" s="224" t="b">
        <f>$U$126=Started</f>
        <v>0</v>
      </c>
      <c r="Z142" s="231" t="str">
        <f t="shared" si="41"/>
        <v/>
      </c>
      <c r="AA142" s="228"/>
      <c r="AB142" s="2"/>
      <c r="AL142" s="46" t="str">
        <f ca="1">AL134</f>
        <v/>
      </c>
    </row>
    <row r="143" spans="1:48" s="46" customFormat="1" ht="37.5" customHeight="1" x14ac:dyDescent="0.3">
      <c r="A143" s="123"/>
      <c r="B143" s="347"/>
      <c r="C143" s="401"/>
      <c r="D143" s="248"/>
      <c r="E143" s="132"/>
      <c r="F143" s="132"/>
      <c r="G143" s="132"/>
      <c r="H143" s="132"/>
      <c r="I143" s="132"/>
      <c r="J143" s="132"/>
      <c r="K143" s="132"/>
      <c r="L143" s="132"/>
      <c r="M143"/>
      <c r="N143"/>
      <c r="O143" s="338"/>
      <c r="Q143" s="2"/>
      <c r="R143" s="2"/>
      <c r="S143" s="2"/>
      <c r="T143" s="2"/>
      <c r="U143" s="2"/>
      <c r="V143" s="198"/>
      <c r="W143" s="244"/>
      <c r="X143" s="191"/>
      <c r="Y143" s="224"/>
      <c r="Z143" s="231"/>
      <c r="AA143" s="228"/>
      <c r="AB143" s="2"/>
    </row>
    <row r="144" spans="1:48" s="46" customFormat="1" ht="18" customHeight="1" x14ac:dyDescent="0.3">
      <c r="A144" s="404" t="s">
        <v>422</v>
      </c>
      <c r="C144" s="401"/>
      <c r="D144" s="248"/>
      <c r="E144" s="132"/>
      <c r="F144" s="132"/>
      <c r="G144" s="132"/>
      <c r="H144" s="132"/>
      <c r="I144" s="132"/>
      <c r="J144" s="132"/>
      <c r="K144" s="132"/>
      <c r="L144" s="132"/>
      <c r="M144"/>
      <c r="N144"/>
      <c r="O144" s="338"/>
      <c r="Q144" s="2"/>
      <c r="R144" s="2"/>
      <c r="S144" s="2"/>
      <c r="T144" s="2"/>
      <c r="U144" s="2"/>
      <c r="V144" s="198"/>
      <c r="W144" s="244"/>
      <c r="X144" s="191"/>
      <c r="Y144" s="224"/>
      <c r="Z144" s="231"/>
      <c r="AA144" s="228"/>
      <c r="AB144" s="2"/>
    </row>
    <row r="145" spans="1:46" s="46" customFormat="1" ht="19.5" customHeight="1" thickBot="1" x14ac:dyDescent="0.35">
      <c r="A145" s="404"/>
      <c r="B145" s="347" t="s">
        <v>423</v>
      </c>
      <c r="C145" s="401"/>
      <c r="D145" s="248"/>
      <c r="E145" s="132"/>
      <c r="F145" s="132"/>
      <c r="G145" s="132"/>
      <c r="H145" s="132"/>
      <c r="I145" s="132"/>
      <c r="J145" s="132"/>
      <c r="K145" s="132"/>
      <c r="L145" s="132"/>
      <c r="M145"/>
      <c r="N145"/>
      <c r="O145" s="338"/>
      <c r="Q145" s="2"/>
      <c r="R145" s="2"/>
      <c r="S145" s="2"/>
      <c r="T145" s="2"/>
      <c r="U145" s="2"/>
      <c r="V145" s="198"/>
      <c r="W145" s="244"/>
      <c r="X145" s="191"/>
      <c r="Y145" s="224"/>
      <c r="Z145" s="231"/>
      <c r="AA145" s="228"/>
      <c r="AB145" s="2"/>
    </row>
    <row r="146" spans="1:46" s="46" customFormat="1" ht="13.5" customHeight="1" x14ac:dyDescent="0.3">
      <c r="A146" s="12" t="s">
        <v>424</v>
      </c>
      <c r="B146" s="347" t="s">
        <v>425</v>
      </c>
      <c r="C146" s="433"/>
      <c r="D146" s="492" t="s">
        <v>426</v>
      </c>
      <c r="E146" s="492"/>
      <c r="F146" s="132"/>
      <c r="G146" s="132"/>
      <c r="H146" s="132"/>
      <c r="I146" s="132"/>
      <c r="J146" s="132"/>
      <c r="K146" s="132"/>
      <c r="L146" s="132"/>
      <c r="M146"/>
      <c r="N146"/>
      <c r="O146" s="338"/>
      <c r="Q146" s="2"/>
      <c r="R146" s="2"/>
      <c r="S146" s="2"/>
      <c r="T146" s="2"/>
      <c r="U146" s="2"/>
      <c r="V146" s="198"/>
      <c r="W146" s="244"/>
      <c r="X146" s="191"/>
      <c r="Y146" s="224"/>
      <c r="Z146" s="231"/>
      <c r="AA146" s="228"/>
      <c r="AB146" s="2"/>
    </row>
    <row r="147" spans="1:46" s="46" customFormat="1" ht="13.5" customHeight="1" x14ac:dyDescent="0.3">
      <c r="A147" s="123" t="s">
        <v>427</v>
      </c>
      <c r="B147" s="347" t="s">
        <v>428</v>
      </c>
      <c r="C147" s="402"/>
      <c r="D147" s="248"/>
      <c r="E147" s="132"/>
      <c r="F147" s="132"/>
      <c r="G147" s="132"/>
      <c r="H147" s="132"/>
      <c r="I147" s="132"/>
      <c r="J147" s="132"/>
      <c r="K147" s="132"/>
      <c r="L147" s="132"/>
      <c r="M147"/>
      <c r="N147"/>
      <c r="O147" s="338"/>
      <c r="Q147" s="2"/>
      <c r="R147" s="2"/>
      <c r="S147" s="2"/>
      <c r="T147" s="2"/>
      <c r="U147" s="2"/>
      <c r="V147" s="198"/>
      <c r="W147" s="244"/>
      <c r="X147" s="191"/>
      <c r="Y147" s="224"/>
      <c r="Z147" s="231"/>
      <c r="AA147" s="228"/>
      <c r="AB147" s="2"/>
    </row>
    <row r="148" spans="1:46" s="46" customFormat="1" ht="13.5" customHeight="1" thickBot="1" x14ac:dyDescent="0.35">
      <c r="A148" s="123" t="s">
        <v>429</v>
      </c>
      <c r="B148" s="347" t="s">
        <v>430</v>
      </c>
      <c r="C148" s="403"/>
      <c r="D148" s="248"/>
      <c r="E148" s="132"/>
      <c r="F148" s="132"/>
      <c r="G148" s="132"/>
      <c r="H148" s="132"/>
      <c r="I148" s="132"/>
      <c r="J148" s="132"/>
      <c r="K148" s="132"/>
      <c r="L148" s="132"/>
      <c r="M148"/>
      <c r="N148"/>
      <c r="O148" s="338"/>
      <c r="Q148" s="2"/>
      <c r="R148" s="2"/>
      <c r="S148" s="2"/>
      <c r="T148" s="2"/>
      <c r="U148" s="2"/>
      <c r="V148" s="198"/>
      <c r="W148" s="244"/>
      <c r="X148" s="191"/>
      <c r="Y148" s="224"/>
      <c r="Z148" s="231"/>
      <c r="AA148" s="228"/>
      <c r="AB148" s="2"/>
    </row>
    <row r="149" spans="1:46" s="46" customFormat="1" x14ac:dyDescent="0.3">
      <c r="A149" s="12"/>
      <c r="B149" s="426"/>
      <c r="D149" s="425"/>
      <c r="F149" s="113"/>
      <c r="G149" s="113"/>
      <c r="H149" s="113"/>
      <c r="I149" s="113"/>
      <c r="M149"/>
      <c r="N149"/>
      <c r="O149" s="427"/>
      <c r="Q149" s="8"/>
      <c r="R149" s="8"/>
      <c r="S149" s="8"/>
      <c r="T149" s="8"/>
      <c r="U149" s="8"/>
      <c r="V149" s="428"/>
      <c r="W149" s="428"/>
      <c r="X149" s="429"/>
      <c r="Y149" s="430"/>
      <c r="Z149" s="431"/>
      <c r="AA149" s="432"/>
      <c r="AB149" s="8"/>
    </row>
    <row r="150" spans="1:46" s="11" customFormat="1" ht="18.75" customHeight="1" x14ac:dyDescent="0.3">
      <c r="A150" s="48" t="s">
        <v>431</v>
      </c>
      <c r="B150" s="49" t="s">
        <v>432</v>
      </c>
      <c r="C150" s="31"/>
      <c r="E150" s="14"/>
      <c r="I150" s="46"/>
      <c r="M150"/>
      <c r="N150"/>
      <c r="O150" s="325"/>
      <c r="Q150" s="2"/>
      <c r="R150" s="2"/>
      <c r="S150" s="2">
        <f>LEN(concatenateRange(C154:D159,""))</f>
        <v>0</v>
      </c>
      <c r="T150" s="301" t="s">
        <v>17</v>
      </c>
      <c r="U150" s="224" t="str">
        <f>IF(U152=0,NotStarted,
IF(U152=18,Finished,Started))</f>
        <v xml:space="preserve">       &lt; Not Started &gt;</v>
      </c>
      <c r="V150" s="198"/>
      <c r="W150" s="198"/>
      <c r="X150" s="199" t="str">
        <f>LineBreak &amp;LineBreak&amp;A150&amp;"  "&amp;LEFT(B150,60)&amp;U150</f>
        <v xml:space="preserve"> 
10  CURRENT AWARENESS/HORIZON SCANNING/ALERTING SERVICES               &lt; Not Started &gt;</v>
      </c>
      <c r="Y150" s="224" t="b">
        <v>1</v>
      </c>
      <c r="Z150" s="231" t="str">
        <f t="shared" si="41"/>
        <v xml:space="preserve"> 
10  CURRENT AWARENESS/HORIZON SCANNING/ALERTING SERVICES               &lt; Not Started &gt;</v>
      </c>
      <c r="AA150" s="228"/>
      <c r="AB150" s="2"/>
      <c r="AC150" s="46"/>
      <c r="AD150" s="46"/>
      <c r="AE150" s="46"/>
      <c r="AF150" s="46"/>
      <c r="AG150" s="46"/>
      <c r="AH150" s="46"/>
      <c r="AI150" s="46"/>
      <c r="AJ150" s="46"/>
      <c r="AK150" s="46"/>
      <c r="AL150" s="46"/>
      <c r="AM150" s="46"/>
      <c r="AN150" s="46" t="str">
        <f ca="1">AN134</f>
        <v>5.2:   Copies etc. made by LKS staff …(c101)   ''  Nothing to record?  Please add  '0'  or NA  or  NK  to confirm</v>
      </c>
      <c r="AO150" s="46"/>
      <c r="AP150" s="46"/>
      <c r="AQ150" s="46"/>
      <c r="AR150" s="46"/>
      <c r="AS150" s="46"/>
      <c r="AT150" s="46"/>
    </row>
    <row r="151" spans="1:46" s="11" customFormat="1" ht="7.5" customHeight="1" thickBot="1" x14ac:dyDescent="0.35">
      <c r="A151" s="34"/>
      <c r="B151" s="51"/>
      <c r="M151"/>
      <c r="N151"/>
      <c r="O151" s="325"/>
      <c r="Q151" s="2"/>
      <c r="R151" s="2"/>
      <c r="S151" s="2"/>
      <c r="T151" s="2"/>
      <c r="U151" s="2" t="s">
        <v>433</v>
      </c>
      <c r="V151" s="198"/>
      <c r="W151" s="198"/>
      <c r="X151" s="191" t="str">
        <f>R141&amp;R142</f>
        <v/>
      </c>
      <c r="Y151" s="224"/>
      <c r="Z151" s="231" t="str">
        <f t="shared" si="41"/>
        <v/>
      </c>
      <c r="AA151" s="228"/>
      <c r="AB151" s="2"/>
      <c r="AD151" s="46"/>
      <c r="AE151" s="46"/>
      <c r="AF151" s="46"/>
      <c r="AG151" s="46"/>
      <c r="AH151" s="46"/>
      <c r="AI151" s="46"/>
      <c r="AJ151" s="46"/>
      <c r="AK151" s="46"/>
      <c r="AL151" s="46"/>
      <c r="AM151" s="46"/>
      <c r="AN151" s="46"/>
      <c r="AO151" s="46" t="str">
        <f ca="1">AO134</f>
        <v>7.1:   Copies etc. receiv…(C107)   ''  Nothing to record?  Please add  '0'  or NA  or  NK  to confirm</v>
      </c>
      <c r="AP151" s="46"/>
      <c r="AQ151" s="46"/>
      <c r="AR151" s="46"/>
      <c r="AS151" s="46"/>
      <c r="AT151" s="46"/>
    </row>
    <row r="152" spans="1:46" s="11" customFormat="1" ht="41.25" customHeight="1" thickBot="1" x14ac:dyDescent="0.35">
      <c r="A152" s="90"/>
      <c r="B152" s="295"/>
      <c r="C152" s="121" t="s">
        <v>434</v>
      </c>
      <c r="D152" s="152" t="s">
        <v>435</v>
      </c>
      <c r="E152" s="296" t="s">
        <v>436</v>
      </c>
      <c r="G152" s="450" t="s">
        <v>105</v>
      </c>
      <c r="H152" s="451"/>
      <c r="I152" s="451"/>
      <c r="J152" s="451"/>
      <c r="K152" s="451"/>
      <c r="L152" s="452"/>
      <c r="M152"/>
      <c r="N152"/>
      <c r="O152" s="338"/>
      <c r="Q152" s="14" t="s">
        <v>437</v>
      </c>
      <c r="R152" s="14" t="s">
        <v>438</v>
      </c>
      <c r="S152" s="14" t="s">
        <v>438</v>
      </c>
      <c r="T152" s="14" t="s">
        <v>439</v>
      </c>
      <c r="U152" s="290">
        <f>COUNTIF(C154:E159,"&gt;=0")</f>
        <v>0</v>
      </c>
      <c r="V152" s="198" t="s">
        <v>440</v>
      </c>
      <c r="W152" s="198">
        <f t="shared" ref="W152:W162" ca="1" si="58">IF(LEN(OFFSET(INDIRECT(V152),1,0))&gt;1,1,0)</f>
        <v>0</v>
      </c>
      <c r="X152" s="191" t="str">
        <f>LineBreak&amp;LineBreak&amp;Indent&amp;IF(U152=0,"Not Started:      No Entries Yet",
IF(U152&lt;13," Not yet complete","All Done"))</f>
        <v xml:space="preserve"> 
                 Not Started:      No Entries Yet</v>
      </c>
      <c r="Y152" s="224"/>
      <c r="Z152" s="231" t="str">
        <f t="shared" si="41"/>
        <v/>
      </c>
      <c r="AA152" s="228"/>
      <c r="AB152" s="2"/>
      <c r="AP152" s="11" t="e">
        <f ca="1">AP134</f>
        <v>#REF!</v>
      </c>
    </row>
    <row r="153" spans="1:46" s="11" customFormat="1" ht="13.5" thickBot="1" x14ac:dyDescent="0.35">
      <c r="A153" s="477" t="s">
        <v>441</v>
      </c>
      <c r="B153" s="477"/>
      <c r="C153" s="498" t="s">
        <v>442</v>
      </c>
      <c r="D153" s="498"/>
      <c r="E153" s="498"/>
      <c r="G153" s="126"/>
      <c r="H153" s="126"/>
      <c r="I153" s="126"/>
      <c r="J153" s="126"/>
      <c r="K153" s="126"/>
      <c r="L153" s="126"/>
      <c r="M153"/>
      <c r="N153"/>
      <c r="O153" s="325"/>
      <c r="Q153" s="2" t="s">
        <v>443</v>
      </c>
      <c r="R153" s="288" t="str">
        <f>"'Create'... comment"</f>
        <v>'Create'... comment</v>
      </c>
      <c r="S153" s="288" t="str">
        <f>"'Modify'..comment"</f>
        <v>'Modify'..comment</v>
      </c>
      <c r="T153" s="288" t="s">
        <v>444</v>
      </c>
      <c r="U153" s="2" t="s">
        <v>445</v>
      </c>
      <c r="V153" s="198" t="s">
        <v>446</v>
      </c>
      <c r="W153" s="198">
        <f t="shared" ca="1" si="58"/>
        <v>0</v>
      </c>
      <c r="X153" s="191" t="str">
        <f t="shared" ref="X153" si="59">R149&amp;R150</f>
        <v/>
      </c>
      <c r="Y153" s="224"/>
      <c r="Z153" s="231" t="str">
        <f t="shared" si="41"/>
        <v/>
      </c>
      <c r="AA153" s="228"/>
      <c r="AB153" s="2"/>
    </row>
    <row r="154" spans="1:46" s="11" customFormat="1" x14ac:dyDescent="0.3">
      <c r="A154" s="10" t="s">
        <v>447</v>
      </c>
      <c r="B154" s="52" t="s">
        <v>448</v>
      </c>
      <c r="C154" s="62"/>
      <c r="D154" s="87"/>
      <c r="E154" s="129"/>
      <c r="F154" s="293" t="str">
        <f>IF(AND(LEN(concatenateRange(C154:E154,""))&gt;0,LEN(G154)=0),"Any comment?","")</f>
        <v/>
      </c>
      <c r="G154" s="444"/>
      <c r="H154" s="445"/>
      <c r="I154" s="445"/>
      <c r="J154" s="445"/>
      <c r="K154" s="445"/>
      <c r="L154" s="446"/>
      <c r="M154"/>
      <c r="N154"/>
      <c r="O154" s="338" t="str">
        <f>U150</f>
        <v xml:space="preserve">       &lt; Not Started &gt;</v>
      </c>
      <c r="Q154" s="241" t="b">
        <f>OR(C154="",D154="",E154="")</f>
        <v>1</v>
      </c>
      <c r="R154" s="289" t="str">
        <f>IF(C154="",$A154&amp;"    You don't "&amp;C$152&amp;" '"&amp;$B154&amp;"'?    Please confirm with a '0' in "&amp;ADDRESS(ROW(C154),COLUMN(C154),4),"")</f>
        <v>10.1a    You don't Create 'New acquisitions bulletins'?    Please confirm with a '0' in C154</v>
      </c>
      <c r="S154" s="289" t="str">
        <f t="shared" ref="S154" si="60">IF(D154="",$A154&amp;"    You don't "&amp;D$152&amp;" '"&amp;$B154&amp;"'?    Please confirm with a '0' in "&amp;ADDRESS(ROW(D154),COLUMN(D154),4),"")</f>
        <v>10.1a    You don't Modify or Contribute to 'New acquisitions bulletins'?    Please confirm with a '0' in D154</v>
      </c>
      <c r="T154" s="289" t="str">
        <f>IF(E154="",$A154&amp;"    You don't circulate '"&amp;$B154&amp;" 'unchanged' from another producer'?    Please confirm with a '0' in "&amp;ADDRESS(ROW(E154),COLUMN(E154),4),"")</f>
        <v>10.1a    You don't circulate 'New acquisitions bulletins 'unchanged' from another producer'?    Please confirm with a '0' in E154</v>
      </c>
      <c r="U154" s="2" t="str">
        <f t="shared" ref="U154:U159" si="61">concatenateRange(R154:T154,LineBreak&amp;Indent)</f>
        <v>10.1a    You don't Create 'New acquisitions bulletins'?    Please confirm with a '0' in C154 
                 10.1a    You don't Modify or Contribute to 'New acquisitions bulletins'?    Please confirm with a '0' in D154 
                 10.1a    You don't circulate 'New acquisitions bulletins 'unchanged' from another producer'?    Please confirm with a '0' in E154</v>
      </c>
      <c r="V154" s="198" t="s">
        <v>449</v>
      </c>
      <c r="W154" s="198">
        <f t="shared" ca="1" si="58"/>
        <v>0</v>
      </c>
      <c r="X154" s="191" t="str">
        <f t="shared" ref="X154:X159" si="62">LineBreak&amp;LineBreak&amp;Indent&amp;U154</f>
        <v xml:space="preserve"> 
                 10.1a    You don't Create 'New acquisitions bulletins'?    Please confirm with a '0' in C154 
                 10.1a    You don't Modify or Contribute to 'New acquisitions bulletins'?    Please confirm with a '0' in D154 
                 10.1a    You don't circulate 'New acquisitions bulletins 'unchanged' from another producer'?    Please confirm with a '0' in E154</v>
      </c>
      <c r="Y154" s="224" t="b">
        <f>AND(Q154,$U$152&lt;&gt;0)</f>
        <v>0</v>
      </c>
      <c r="Z154" s="231" t="str">
        <f t="shared" si="41"/>
        <v/>
      </c>
      <c r="AA154" s="228"/>
      <c r="AB154" s="2"/>
      <c r="AQ154" s="11" t="e">
        <f ca="1">AQ134</f>
        <v>#REF!</v>
      </c>
    </row>
    <row r="155" spans="1:46" s="11" customFormat="1" x14ac:dyDescent="0.3">
      <c r="A155" s="10" t="s">
        <v>450</v>
      </c>
      <c r="B155" s="52" t="s">
        <v>451</v>
      </c>
      <c r="C155" s="63"/>
      <c r="D155" s="88"/>
      <c r="E155" s="130"/>
      <c r="F155" s="293" t="str">
        <f t="shared" ref="F155:F159" si="63">IF(AND(LEN(concatenateRange(C155:E155,""))&gt;0,LEN(G155)=0),"Any comment?","")</f>
        <v/>
      </c>
      <c r="G155" s="438"/>
      <c r="H155" s="439"/>
      <c r="I155" s="439"/>
      <c r="J155" s="439"/>
      <c r="K155" s="439"/>
      <c r="L155" s="440"/>
      <c r="M155"/>
      <c r="N155"/>
      <c r="O155" s="338"/>
      <c r="Q155" s="241" t="b">
        <f t="shared" ref="Q155:Q159" si="64">OR(C155="",D155="",E155="")</f>
        <v>1</v>
      </c>
      <c r="R155" s="289" t="str">
        <f t="shared" ref="R155:R159" si="65">IF(C155="",$A155&amp;"    You don't "&amp;C$152&amp;" '"&amp;$B155&amp;"'?    Please confirm with a '0' in "&amp;ADDRESS(ROW(C155),COLUMN(C155),4),"")</f>
        <v>10.1b    You don't Create 'Subject/topic bulletins'?    Please confirm with a '0' in C155</v>
      </c>
      <c r="S155" s="289" t="str">
        <f t="shared" ref="S155:S159" si="66">IF(D155="",$A155&amp;"    You don't "&amp;D$152&amp;" '"&amp;$B155&amp;"'?    Please confirm with a '0' in "&amp;ADDRESS(ROW(D155),COLUMN(D155),4),"")</f>
        <v>10.1b    You don't Modify or Contribute to 'Subject/topic bulletins'?    Please confirm with a '0' in D155</v>
      </c>
      <c r="T155" s="289" t="str">
        <f t="shared" ref="T155:T158" si="67">IF(E155="",$A155&amp;"    You don't circulate '"&amp;$B155&amp;" 'unchanged' from another producer'?    Please confirm with a '0' in "&amp;ADDRESS(ROW(E155),COLUMN(E155),4),"")</f>
        <v>10.1b    You don't circulate 'Subject/topic bulletins 'unchanged' from another producer'?    Please confirm with a '0' in E155</v>
      </c>
      <c r="U155" s="2" t="str">
        <f t="shared" si="61"/>
        <v>10.1b    You don't Create 'Subject/topic bulletins'?    Please confirm with a '0' in C155 
                 10.1b    You don't Modify or Contribute to 'Subject/topic bulletins'?    Please confirm with a '0' in D155 
                 10.1b    You don't circulate 'Subject/topic bulletins 'unchanged' from another producer'?    Please confirm with a '0' in E155</v>
      </c>
      <c r="V155" s="198" t="s">
        <v>452</v>
      </c>
      <c r="W155" s="198">
        <f t="shared" ca="1" si="58"/>
        <v>0</v>
      </c>
      <c r="X155" s="191" t="str">
        <f t="shared" si="62"/>
        <v xml:space="preserve"> 
                 10.1b    You don't Create 'Subject/topic bulletins'?    Please confirm with a '0' in C155 
                 10.1b    You don't Modify or Contribute to 'Subject/topic bulletins'?    Please confirm with a '0' in D155 
                 10.1b    You don't circulate 'Subject/topic bulletins 'unchanged' from another producer'?    Please confirm with a '0' in E155</v>
      </c>
      <c r="Y155" s="224" t="b">
        <f t="shared" ref="Y155:Y159" si="68">AND(Q155,$U$152&lt;&gt;0)</f>
        <v>0</v>
      </c>
      <c r="Z155" s="231" t="str">
        <f t="shared" si="41"/>
        <v/>
      </c>
      <c r="AA155" s="228"/>
      <c r="AB155" s="2"/>
      <c r="AS155" s="11" t="e">
        <f ca="1">AS134</f>
        <v>#REF!</v>
      </c>
    </row>
    <row r="156" spans="1:46" s="11" customFormat="1" x14ac:dyDescent="0.3">
      <c r="A156" s="10" t="s">
        <v>453</v>
      </c>
      <c r="B156" s="52" t="s">
        <v>454</v>
      </c>
      <c r="C156" s="63"/>
      <c r="D156" s="88"/>
      <c r="E156" s="130"/>
      <c r="F156" s="293" t="str">
        <f t="shared" si="63"/>
        <v/>
      </c>
      <c r="G156" s="438"/>
      <c r="H156" s="439"/>
      <c r="I156" s="439"/>
      <c r="J156" s="439"/>
      <c r="K156" s="439"/>
      <c r="L156" s="440"/>
      <c r="M156"/>
      <c r="N156"/>
      <c r="O156" s="338"/>
      <c r="Q156" s="241" t="b">
        <f t="shared" si="64"/>
        <v>1</v>
      </c>
      <c r="R156" s="289" t="str">
        <f t="shared" si="65"/>
        <v>10.1c    You don't Create 'Health news bulletins'?    Please confirm with a '0' in C156</v>
      </c>
      <c r="S156" s="289" t="str">
        <f t="shared" si="66"/>
        <v>10.1c    You don't Modify or Contribute to 'Health news bulletins'?    Please confirm with a '0' in D156</v>
      </c>
      <c r="T156" s="289" t="str">
        <f t="shared" si="67"/>
        <v>10.1c    You don't circulate 'Health news bulletins 'unchanged' from another producer'?    Please confirm with a '0' in E156</v>
      </c>
      <c r="U156" s="2" t="str">
        <f t="shared" si="61"/>
        <v>10.1c    You don't Create 'Health news bulletins'?    Please confirm with a '0' in C156 
                 10.1c    You don't Modify or Contribute to 'Health news bulletins'?    Please confirm with a '0' in D156 
                 10.1c    You don't circulate 'Health news bulletins 'unchanged' from another producer'?    Please confirm with a '0' in E156</v>
      </c>
      <c r="V156" s="198" t="s">
        <v>455</v>
      </c>
      <c r="W156" s="198">
        <f t="shared" ca="1" si="58"/>
        <v>0</v>
      </c>
      <c r="X156" s="191" t="str">
        <f t="shared" si="62"/>
        <v xml:space="preserve"> 
                 10.1c    You don't Create 'Health news bulletins'?    Please confirm with a '0' in C156 
                 10.1c    You don't Modify or Contribute to 'Health news bulletins'?    Please confirm with a '0' in D156 
                 10.1c    You don't circulate 'Health news bulletins 'unchanged' from another producer'?    Please confirm with a '0' in E156</v>
      </c>
      <c r="Y156" s="224" t="b">
        <f t="shared" si="68"/>
        <v>0</v>
      </c>
      <c r="Z156" s="231" t="str">
        <f t="shared" si="41"/>
        <v/>
      </c>
      <c r="AA156" s="228"/>
      <c r="AB156" s="2"/>
      <c r="AT156" s="11" t="e">
        <f ca="1">AT134</f>
        <v>#REF!</v>
      </c>
    </row>
    <row r="157" spans="1:46" s="11" customFormat="1" x14ac:dyDescent="0.3">
      <c r="A157" s="10" t="s">
        <v>456</v>
      </c>
      <c r="B157" s="52" t="s">
        <v>457</v>
      </c>
      <c r="C157" s="63"/>
      <c r="D157" s="88"/>
      <c r="E157" s="130"/>
      <c r="F157" s="293" t="str">
        <f t="shared" si="63"/>
        <v/>
      </c>
      <c r="G157" s="438"/>
      <c r="H157" s="439"/>
      <c r="I157" s="439"/>
      <c r="J157" s="439"/>
      <c r="K157" s="439"/>
      <c r="L157" s="440"/>
      <c r="M157"/>
      <c r="N157"/>
      <c r="O157" s="338"/>
      <c r="Q157" s="241" t="b">
        <f t="shared" si="64"/>
        <v>1</v>
      </c>
      <c r="R157" s="289" t="str">
        <f t="shared" si="65"/>
        <v>10.1d    You don't Create 'E-toc alerts'?    Please confirm with a '0' in C157</v>
      </c>
      <c r="S157" s="289" t="str">
        <f t="shared" si="66"/>
        <v>10.1d    You don't Modify or Contribute to 'E-toc alerts'?    Please confirm with a '0' in D157</v>
      </c>
      <c r="T157" s="289" t="str">
        <f t="shared" si="67"/>
        <v>10.1d    You don't circulate 'E-toc alerts 'unchanged' from another producer'?    Please confirm with a '0' in E157</v>
      </c>
      <c r="U157" s="2" t="str">
        <f t="shared" si="61"/>
        <v>10.1d    You don't Create 'E-toc alerts'?    Please confirm with a '0' in C157 
                 10.1d    You don't Modify or Contribute to 'E-toc alerts'?    Please confirm with a '0' in D157 
                 10.1d    You don't circulate 'E-toc alerts 'unchanged' from another producer'?    Please confirm with a '0' in E157</v>
      </c>
      <c r="V157" s="198" t="s">
        <v>458</v>
      </c>
      <c r="W157" s="198">
        <f t="shared" ca="1" si="58"/>
        <v>0</v>
      </c>
      <c r="X157" s="191" t="str">
        <f t="shared" si="62"/>
        <v xml:space="preserve"> 
                 10.1d    You don't Create 'E-toc alerts'?    Please confirm with a '0' in C157 
                 10.1d    You don't Modify or Contribute to 'E-toc alerts'?    Please confirm with a '0' in D157 
                 10.1d    You don't circulate 'E-toc alerts 'unchanged' from another producer'?    Please confirm with a '0' in E157</v>
      </c>
      <c r="Y157" s="224" t="b">
        <f t="shared" si="68"/>
        <v>0</v>
      </c>
      <c r="Z157" s="231" t="str">
        <f t="shared" si="41"/>
        <v/>
      </c>
      <c r="AA157" s="228"/>
      <c r="AB157" s="2"/>
    </row>
    <row r="158" spans="1:46" s="11" customFormat="1" x14ac:dyDescent="0.3">
      <c r="A158" s="10" t="s">
        <v>459</v>
      </c>
      <c r="B158" s="385" t="s">
        <v>460</v>
      </c>
      <c r="C158" s="144"/>
      <c r="D158" s="145"/>
      <c r="E158" s="146"/>
      <c r="F158" s="293" t="str">
        <f t="shared" si="63"/>
        <v/>
      </c>
      <c r="G158" s="438"/>
      <c r="H158" s="439"/>
      <c r="I158" s="439"/>
      <c r="J158" s="439"/>
      <c r="K158" s="439"/>
      <c r="L158" s="440"/>
      <c r="M158"/>
      <c r="N158"/>
      <c r="O158" s="338"/>
      <c r="Q158" s="241" t="b">
        <f t="shared" si="64"/>
        <v>1</v>
      </c>
      <c r="R158" s="289" t="str">
        <f t="shared" si="65"/>
        <v>10.1e     You don't Create 'Horizon scanning'?    Please confirm with a '0' in C158</v>
      </c>
      <c r="S158" s="289" t="str">
        <f t="shared" si="66"/>
        <v>10.1e     You don't Modify or Contribute to 'Horizon scanning'?    Please confirm with a '0' in D158</v>
      </c>
      <c r="T158" s="289" t="str">
        <f t="shared" si="67"/>
        <v>10.1e     You don't circulate 'Horizon scanning 'unchanged' from another producer'?    Please confirm with a '0' in E158</v>
      </c>
      <c r="U158" s="2" t="str">
        <f t="shared" si="61"/>
        <v>10.1e     You don't Create 'Horizon scanning'?    Please confirm with a '0' in C158 
                 10.1e     You don't Modify or Contribute to 'Horizon scanning'?    Please confirm with a '0' in D158 
                 10.1e     You don't circulate 'Horizon scanning 'unchanged' from another producer'?    Please confirm with a '0' in E158</v>
      </c>
      <c r="V158" s="198" t="s">
        <v>461</v>
      </c>
      <c r="W158" s="198">
        <f t="shared" ca="1" si="58"/>
        <v>0</v>
      </c>
      <c r="X158" s="191" t="str">
        <f t="shared" si="62"/>
        <v xml:space="preserve"> 
                 10.1e     You don't Create 'Horizon scanning'?    Please confirm with a '0' in C158 
                 10.1e     You don't Modify or Contribute to 'Horizon scanning'?    Please confirm with a '0' in D158 
                 10.1e     You don't circulate 'Horizon scanning 'unchanged' from another producer'?    Please confirm with a '0' in E158</v>
      </c>
      <c r="Y158" s="224" t="b">
        <f t="shared" si="68"/>
        <v>0</v>
      </c>
      <c r="Z158" s="231" t="str">
        <f t="shared" si="41"/>
        <v/>
      </c>
      <c r="AA158" s="228"/>
      <c r="AB158" s="2"/>
    </row>
    <row r="159" spans="1:46" s="11" customFormat="1" ht="13.5" thickBot="1" x14ac:dyDescent="0.35">
      <c r="A159" s="10" t="s">
        <v>462</v>
      </c>
      <c r="B159" s="52" t="s">
        <v>463</v>
      </c>
      <c r="C159" s="68"/>
      <c r="D159" s="89"/>
      <c r="E159" s="131"/>
      <c r="F159" s="293" t="str">
        <f t="shared" si="63"/>
        <v/>
      </c>
      <c r="G159" s="441"/>
      <c r="H159" s="442"/>
      <c r="I159" s="442"/>
      <c r="J159" s="442"/>
      <c r="K159" s="442"/>
      <c r="L159" s="443"/>
      <c r="M159"/>
      <c r="N159"/>
      <c r="O159" s="337"/>
      <c r="Q159" s="241" t="b">
        <f t="shared" si="64"/>
        <v>1</v>
      </c>
      <c r="R159" s="289" t="str">
        <f t="shared" si="65"/>
        <v>10.1f    You don't Create 'Other (add comment to explain)'?    Please confirm with a '0' in C159</v>
      </c>
      <c r="S159" s="289" t="str">
        <f t="shared" si="66"/>
        <v>10.1f    You don't Modify or Contribute to 'Other (add comment to explain)'?    Please confirm with a '0' in D159</v>
      </c>
      <c r="T159" s="289" t="str">
        <f>IF(E159="",$A159&amp;"    You don't circulate '"&amp;$B159&amp;" 'unchanged' from another producer'?    Please confirm with a '0' in "&amp;ADDRESS(ROW(E159),COLUMN(E159),4),"")</f>
        <v>10.1f    You don't circulate 'Other (add comment to explain) 'unchanged' from another producer'?    Please confirm with a '0' in E159</v>
      </c>
      <c r="U159" s="2" t="str">
        <f t="shared" si="61"/>
        <v>10.1f    You don't Create 'Other (add comment to explain)'?    Please confirm with a '0' in C159 
                 10.1f    You don't Modify or Contribute to 'Other (add comment to explain)'?    Please confirm with a '0' in D159 
                 10.1f    You don't circulate 'Other (add comment to explain) 'unchanged' from another producer'?    Please confirm with a '0' in E159</v>
      </c>
      <c r="V159" s="198" t="s">
        <v>464</v>
      </c>
      <c r="W159" s="198">
        <f t="shared" ca="1" si="58"/>
        <v>0</v>
      </c>
      <c r="X159" s="191" t="str">
        <f t="shared" si="62"/>
        <v xml:space="preserve"> 
                 10.1f    You don't Create 'Other (add comment to explain)'?    Please confirm with a '0' in C159 
                 10.1f    You don't Modify or Contribute to 'Other (add comment to explain)'?    Please confirm with a '0' in D159 
                 10.1f    You don't circulate 'Other (add comment to explain) 'unchanged' from another producer'?    Please confirm with a '0' in E159</v>
      </c>
      <c r="Y159" s="224" t="b">
        <f t="shared" si="68"/>
        <v>0</v>
      </c>
      <c r="Z159" s="231" t="str">
        <f t="shared" si="41"/>
        <v/>
      </c>
      <c r="AA159" s="228"/>
      <c r="AB159" s="2"/>
    </row>
    <row r="160" spans="1:46" s="11" customFormat="1" x14ac:dyDescent="0.3">
      <c r="A160" s="34"/>
      <c r="B160" s="53"/>
      <c r="C160" s="291"/>
      <c r="D160" s="292" t="str">
        <f>IF(AND(U152&gt;0,U152&lt;18),18-U152&amp;" Entries still required above-No blanks please",IF(U152=18,"Section complete"
&amp;IF(COUNTA(G154:N159)=0," but no comments recorded…",""),""))</f>
        <v/>
      </c>
      <c r="G160" s="294" t="str">
        <f>COUNTA(G153:N159)&amp;" comment"&amp;IF(COUNTA(G153:N159)&lt;&gt;1,"s","")&amp;" recorded"</f>
        <v>0 comments recorded</v>
      </c>
      <c r="M160"/>
      <c r="N160"/>
      <c r="O160" s="329"/>
      <c r="Q160" s="2"/>
      <c r="R160" s="2"/>
      <c r="S160" s="2"/>
      <c r="T160" s="2"/>
      <c r="U160" s="2"/>
      <c r="V160" s="198" t="s">
        <v>465</v>
      </c>
      <c r="W160" s="198">
        <f t="shared" ca="1" si="58"/>
        <v>0</v>
      </c>
      <c r="X160" s="191"/>
      <c r="Y160" s="224"/>
      <c r="Z160" s="231" t="str">
        <f t="shared" si="41"/>
        <v/>
      </c>
      <c r="AA160" s="228"/>
      <c r="AB160" s="2"/>
    </row>
    <row r="161" spans="1:46" s="11" customFormat="1" ht="15" thickBot="1" x14ac:dyDescent="0.35">
      <c r="A161" s="54" t="s">
        <v>466</v>
      </c>
      <c r="B161" s="29" t="s">
        <v>467</v>
      </c>
      <c r="M161"/>
      <c r="N161"/>
      <c r="O161" s="329"/>
      <c r="Q161" s="2"/>
      <c r="R161" s="2"/>
      <c r="S161" s="2"/>
      <c r="T161" s="301" t="s">
        <v>17</v>
      </c>
      <c r="U161" s="224" t="str">
        <f>IF(U162=0,NotStarted,
IF(U162=6,Finished,Started))</f>
        <v xml:space="preserve">       &lt; Not Started &gt;</v>
      </c>
      <c r="V161" s="198" t="s">
        <v>468</v>
      </c>
      <c r="W161" s="198">
        <f t="shared" ca="1" si="58"/>
        <v>1</v>
      </c>
      <c r="X161" s="199" t="str">
        <f>LineBreak &amp;LineBreak&amp;A161&amp;"  "&amp;LEFT(B161,60)&amp;U161</f>
        <v xml:space="preserve"> 
11  COLLABORATIVE PURCHASING       &lt; Not Started &gt;</v>
      </c>
      <c r="Y161" s="224" t="b">
        <v>1</v>
      </c>
      <c r="Z161" s="231" t="str">
        <f t="shared" si="41"/>
        <v xml:space="preserve"> 
11  COLLABORATIVE PURCHASING       &lt; Not Started &gt;</v>
      </c>
      <c r="AA161" s="228"/>
      <c r="AB161" s="2"/>
    </row>
    <row r="162" spans="1:46" s="11" customFormat="1" ht="29.25" customHeight="1" thickBot="1" x14ac:dyDescent="0.35">
      <c r="A162" s="50"/>
      <c r="B162" s="55"/>
      <c r="C162" s="122" t="s">
        <v>469</v>
      </c>
      <c r="D162" s="304"/>
      <c r="E162" s="304"/>
      <c r="F162" s="304"/>
      <c r="G162" s="450" t="s">
        <v>105</v>
      </c>
      <c r="H162" s="451"/>
      <c r="I162" s="451"/>
      <c r="J162" s="451"/>
      <c r="K162" s="451"/>
      <c r="L162" s="452"/>
      <c r="M162"/>
      <c r="N162"/>
      <c r="O162" s="337"/>
      <c r="Q162" s="2"/>
      <c r="R162" s="2"/>
      <c r="S162" s="2"/>
      <c r="T162" s="2"/>
      <c r="U162" s="290">
        <f>COUNTIF(C163:C169,"&gt;=0")</f>
        <v>0</v>
      </c>
      <c r="V162" s="198" t="s">
        <v>470</v>
      </c>
      <c r="W162" s="198">
        <f t="shared" ca="1" si="58"/>
        <v>1</v>
      </c>
      <c r="X162" s="191" t="str">
        <f>IF(U162=0,"Not Started No Entries Yet",
IF(U162&lt;6," Not yet complete!","All Done"))</f>
        <v>Not Started No Entries Yet</v>
      </c>
      <c r="Y162" s="224"/>
      <c r="Z162" s="231" t="str">
        <f t="shared" si="41"/>
        <v/>
      </c>
      <c r="AA162" s="228"/>
      <c r="AB162" s="2"/>
    </row>
    <row r="163" spans="1:46" s="11" customFormat="1" ht="13.5" thickBot="1" x14ac:dyDescent="0.35">
      <c r="A163" s="10">
        <v>11.1</v>
      </c>
      <c r="B163" s="8" t="s">
        <v>471</v>
      </c>
      <c r="C163" s="148"/>
      <c r="D163" s="305" t="str">
        <f>IF(AND(C163="",$U$162&lt;&gt;0),"  No blanks please…",IF(AND(LEN(C163)&gt;0,LEN(G163)=0),"…………….…..…………. Would you like to add a comment?   &gt;&gt;",""))</f>
        <v/>
      </c>
      <c r="E163" s="304"/>
      <c r="F163" s="304"/>
      <c r="G163" s="444"/>
      <c r="H163" s="445"/>
      <c r="I163" s="445"/>
      <c r="J163" s="445"/>
      <c r="K163" s="445"/>
      <c r="L163" s="446"/>
      <c r="M163"/>
      <c r="N163"/>
      <c r="O163" s="337" t="str">
        <f>U161</f>
        <v xml:space="preserve">       &lt; Not Started &gt;</v>
      </c>
      <c r="Q163" s="2"/>
      <c r="R163" s="2"/>
      <c r="S163" s="2"/>
      <c r="T163" s="2"/>
      <c r="U163" s="2"/>
      <c r="V163" s="198" t="s">
        <v>472</v>
      </c>
      <c r="W163" s="303">
        <f ca="1">IF(INDIRECT(V163)="",1,0)</f>
        <v>0</v>
      </c>
      <c r="X163" s="199" t="str">
        <f>LineBreak&amp;Indent&amp;"Please answer…. " &amp;B163 &amp;" ?    Enter '0' for No"</f>
        <v xml:space="preserve"> 
                 Please answer…. Do you take part in any print/non-print collaborative purchasing schemes?  ?    Enter '0' for No</v>
      </c>
      <c r="Y163" s="224" t="b">
        <f ca="1">AND($U$161&lt;&gt;NotStarted,W163=1)</f>
        <v>0</v>
      </c>
      <c r="Z163" s="231" t="str">
        <f t="shared" ca="1" si="41"/>
        <v/>
      </c>
      <c r="AA163" s="228"/>
      <c r="AB163" s="2"/>
    </row>
    <row r="164" spans="1:46" s="100" customFormat="1" ht="13.5" thickBot="1" x14ac:dyDescent="0.35">
      <c r="A164" s="477" t="s">
        <v>473</v>
      </c>
      <c r="B164" s="477"/>
      <c r="C164" s="297"/>
      <c r="D164" s="306" t="str">
        <f>IF(AND(LEN(C164)&gt;0,LEN(G164)=0),"&lt;&lt;  Error This is not a data cell","")</f>
        <v/>
      </c>
      <c r="E164" s="307"/>
      <c r="F164" s="307"/>
      <c r="G164" s="447"/>
      <c r="H164" s="448"/>
      <c r="I164" s="448"/>
      <c r="J164" s="448"/>
      <c r="K164" s="448"/>
      <c r="L164" s="449"/>
      <c r="M164"/>
      <c r="N164"/>
      <c r="O164" s="338"/>
      <c r="Q164" s="2"/>
      <c r="R164" s="2"/>
      <c r="S164" s="2"/>
      <c r="T164" s="2"/>
      <c r="U164" s="2"/>
      <c r="V164" s="198" t="s">
        <v>474</v>
      </c>
      <c r="W164" s="303"/>
      <c r="X164" s="199"/>
      <c r="Y164" s="224"/>
      <c r="Z164" s="231" t="str">
        <f t="shared" si="41"/>
        <v/>
      </c>
      <c r="AA164" s="228"/>
      <c r="AB164" s="2"/>
      <c r="AC164" s="11"/>
      <c r="AD164" s="11"/>
      <c r="AE164" s="11"/>
      <c r="AF164" s="11"/>
      <c r="AG164" s="11"/>
      <c r="AH164" s="11"/>
      <c r="AI164" s="11"/>
      <c r="AJ164" s="11"/>
      <c r="AK164" s="11"/>
      <c r="AL164" s="11"/>
      <c r="AM164" s="11"/>
      <c r="AN164" s="11"/>
      <c r="AO164" s="11"/>
      <c r="AP164" s="11"/>
      <c r="AQ164" s="11"/>
      <c r="AR164" s="11"/>
      <c r="AS164" s="11"/>
      <c r="AT164" s="11"/>
    </row>
    <row r="165" spans="1:46" s="100" customFormat="1" x14ac:dyDescent="0.3">
      <c r="A165" s="386" t="s">
        <v>475</v>
      </c>
      <c r="B165" s="123" t="s">
        <v>476</v>
      </c>
      <c r="C165" s="298"/>
      <c r="D165" s="305" t="str">
        <f>IF(AND(C165="",$U$162&lt;&gt;0),"  No blanks please…",IF(AND(LEN(C165)&gt;0,LEN(G165)=0),"…………….…..…………. Would you like to add a comment?   &gt;&gt;",""))</f>
        <v/>
      </c>
      <c r="E165" s="307"/>
      <c r="F165" s="307"/>
      <c r="G165" s="438"/>
      <c r="H165" s="439"/>
      <c r="I165" s="439"/>
      <c r="J165" s="439"/>
      <c r="K165" s="439"/>
      <c r="L165" s="440"/>
      <c r="M165"/>
      <c r="N165"/>
      <c r="O165" s="338"/>
      <c r="Q165" s="2"/>
      <c r="R165" s="2"/>
      <c r="S165" s="2"/>
      <c r="T165" s="2"/>
      <c r="U165" s="2"/>
      <c r="V165" s="198" t="s">
        <v>477</v>
      </c>
      <c r="W165" s="303">
        <f t="shared" ref="W165:W169" ca="1" si="69">IF(INDIRECT(V165)="",1,0)</f>
        <v>1</v>
      </c>
      <c r="X165" s="199" t="str">
        <f>LineBreak&amp;Indent&amp;"Please answer….eg:  " &amp;B165 &amp;" ?    Enter '0' for No"</f>
        <v xml:space="preserve"> 
                 Please answer….eg:  Books (print and/or electronic) only collaborative purchasing ?    Enter '0' for No</v>
      </c>
      <c r="Y165" s="224" t="b">
        <f t="shared" ref="Y165:Y169" ca="1" si="70">AND($U$161&lt;&gt;NotStarted,W165=1)</f>
        <v>0</v>
      </c>
      <c r="Z165" s="231" t="str">
        <f t="shared" ca="1" si="41"/>
        <v/>
      </c>
      <c r="AA165" s="228"/>
      <c r="AB165" s="2"/>
      <c r="AD165" s="11"/>
      <c r="AE165" s="11"/>
      <c r="AF165" s="11"/>
      <c r="AG165" s="11"/>
      <c r="AH165" s="11"/>
      <c r="AI165" s="11"/>
      <c r="AJ165" s="11"/>
      <c r="AK165" s="11"/>
      <c r="AL165" s="11"/>
      <c r="AM165" s="11"/>
      <c r="AN165" s="11"/>
      <c r="AO165" s="11"/>
      <c r="AP165" s="11"/>
      <c r="AQ165" s="11"/>
      <c r="AR165" s="11"/>
      <c r="AS165" s="11"/>
      <c r="AT165" s="11"/>
    </row>
    <row r="166" spans="1:46" s="100" customFormat="1" x14ac:dyDescent="0.3">
      <c r="A166" s="386" t="s">
        <v>478</v>
      </c>
      <c r="B166" s="123" t="s">
        <v>479</v>
      </c>
      <c r="C166" s="107"/>
      <c r="D166" s="305" t="str">
        <f t="shared" ref="D166:D169" si="71">IF(AND(C166="",$U$162&lt;&gt;0),"  No blanks please…",IF(AND(LEN(C166)&gt;0,LEN(G166)=0),"…………….…..…………. Would you like to add a comment?   &gt;&gt;",""))</f>
        <v/>
      </c>
      <c r="E166" s="307"/>
      <c r="F166" s="307"/>
      <c r="G166" s="438"/>
      <c r="H166" s="439"/>
      <c r="I166" s="439"/>
      <c r="J166" s="439"/>
      <c r="K166" s="439"/>
      <c r="L166" s="440"/>
      <c r="M166"/>
      <c r="N166"/>
      <c r="O166" s="338"/>
      <c r="Q166" s="2"/>
      <c r="R166" s="2"/>
      <c r="S166" s="2"/>
      <c r="T166" s="2"/>
      <c r="U166" s="2"/>
      <c r="V166" s="198" t="s">
        <v>480</v>
      </c>
      <c r="W166" s="303">
        <f t="shared" ca="1" si="69"/>
        <v>1</v>
      </c>
      <c r="X166" s="199" t="str">
        <f>LineBreak&amp;Indent&amp;"Please answer….eg:  " &amp;B166 &amp;" ?    Enter '0' for No"</f>
        <v xml:space="preserve"> 
                 Please answer….eg:  Journals (print and/or electronic) only collaborative purchasing ?    Enter '0' for No</v>
      </c>
      <c r="Y166" s="224" t="b">
        <f t="shared" ca="1" si="70"/>
        <v>0</v>
      </c>
      <c r="Z166" s="231" t="str">
        <f t="shared" ca="1" si="41"/>
        <v/>
      </c>
      <c r="AA166" s="228"/>
      <c r="AB166" s="2"/>
    </row>
    <row r="167" spans="1:46" s="100" customFormat="1" x14ac:dyDescent="0.3">
      <c r="A167" s="386" t="s">
        <v>481</v>
      </c>
      <c r="B167" s="123" t="s">
        <v>482</v>
      </c>
      <c r="C167" s="107"/>
      <c r="D167" s="305" t="str">
        <f t="shared" si="71"/>
        <v/>
      </c>
      <c r="E167" s="307"/>
      <c r="F167" s="307"/>
      <c r="G167" s="438"/>
      <c r="H167" s="439"/>
      <c r="I167" s="439"/>
      <c r="J167" s="439"/>
      <c r="K167" s="439"/>
      <c r="L167" s="440"/>
      <c r="M167"/>
      <c r="N167"/>
      <c r="O167" s="338"/>
      <c r="Q167" s="2"/>
      <c r="R167" s="2"/>
      <c r="S167" s="2"/>
      <c r="T167" s="2"/>
      <c r="U167" s="2"/>
      <c r="V167" s="198" t="s">
        <v>483</v>
      </c>
      <c r="W167" s="303">
        <f t="shared" ca="1" si="69"/>
        <v>1</v>
      </c>
      <c r="X167" s="199" t="str">
        <f>LineBreak&amp;Indent&amp;"Please answer….eg:  " &amp;B167 &amp;" ?    Enter '0' for No"</f>
        <v xml:space="preserve"> 
                 Please answer….eg:  Joint books/journals package (print / electronic) collaborative purchasing ?    Enter '0' for No</v>
      </c>
      <c r="Y167" s="224" t="b">
        <f t="shared" ca="1" si="70"/>
        <v>0</v>
      </c>
      <c r="Z167" s="231" t="str">
        <f t="shared" ca="1" si="41"/>
        <v/>
      </c>
      <c r="AA167" s="228"/>
      <c r="AB167" s="2"/>
    </row>
    <row r="168" spans="1:46" s="100" customFormat="1" x14ac:dyDescent="0.3">
      <c r="A168" s="386" t="s">
        <v>484</v>
      </c>
      <c r="B168" s="123" t="s">
        <v>485</v>
      </c>
      <c r="C168" s="107"/>
      <c r="D168" s="305" t="str">
        <f t="shared" si="71"/>
        <v/>
      </c>
      <c r="E168" s="307"/>
      <c r="F168" s="307"/>
      <c r="G168" s="438"/>
      <c r="H168" s="439"/>
      <c r="I168" s="439"/>
      <c r="J168" s="439"/>
      <c r="K168" s="439"/>
      <c r="L168" s="440"/>
      <c r="M168"/>
      <c r="N168"/>
      <c r="O168" s="338"/>
      <c r="Q168" s="2"/>
      <c r="R168" s="2"/>
      <c r="S168" s="2"/>
      <c r="T168" s="2"/>
      <c r="U168" s="2"/>
      <c r="V168" s="198" t="s">
        <v>486</v>
      </c>
      <c r="W168" s="303">
        <f t="shared" ca="1" si="69"/>
        <v>1</v>
      </c>
      <c r="X168" s="199" t="str">
        <f>LineBreak&amp;Indent&amp;"Please answer….eg:  " &amp;B168 &amp;" ?    Enter '0' for No"</f>
        <v xml:space="preserve"> 
                 Please answer….eg:  Database (inc. ClinicalKey) collaborative purchasing ?    Enter '0' for No</v>
      </c>
      <c r="Y168" s="224" t="b">
        <f t="shared" ca="1" si="70"/>
        <v>0</v>
      </c>
      <c r="Z168" s="231" t="str">
        <f t="shared" ca="1" si="41"/>
        <v/>
      </c>
      <c r="AA168" s="228"/>
      <c r="AB168" s="2"/>
    </row>
    <row r="169" spans="1:46" s="100" customFormat="1" ht="13.5" thickBot="1" x14ac:dyDescent="0.35">
      <c r="A169" s="386" t="s">
        <v>487</v>
      </c>
      <c r="B169" s="123" t="s">
        <v>488</v>
      </c>
      <c r="C169" s="108"/>
      <c r="D169" s="305" t="str">
        <f t="shared" si="71"/>
        <v/>
      </c>
      <c r="E169" s="307"/>
      <c r="F169" s="307"/>
      <c r="G169" s="441"/>
      <c r="H169" s="442"/>
      <c r="I169" s="442"/>
      <c r="J169" s="442"/>
      <c r="K169" s="442"/>
      <c r="L169" s="443"/>
      <c r="M169"/>
      <c r="N169"/>
      <c r="O169" s="338"/>
      <c r="Q169" s="2"/>
      <c r="R169" s="2"/>
      <c r="S169" s="2"/>
      <c r="T169" s="2"/>
      <c r="U169" s="2"/>
      <c r="V169" s="198" t="s">
        <v>489</v>
      </c>
      <c r="W169" s="303">
        <f t="shared" ca="1" si="69"/>
        <v>1</v>
      </c>
      <c r="X169" s="199" t="str">
        <f>LineBreak&amp;Indent&amp;"Please answer….eg:  " &amp;B169 &amp;" ?    Enter '0' for No"</f>
        <v xml:space="preserve"> 
                 Please answer….eg:  Point of care  (e.g. Up-to-Date, Dynamed) collaborative purchasing ?    Enter '0' for No</v>
      </c>
      <c r="Y169" s="224" t="b">
        <f t="shared" ca="1" si="70"/>
        <v>0</v>
      </c>
      <c r="Z169" s="231" t="str">
        <f t="shared" ca="1" si="41"/>
        <v/>
      </c>
      <c r="AA169" s="228"/>
      <c r="AB169" s="2"/>
    </row>
    <row r="170" spans="1:46" s="100" customFormat="1" x14ac:dyDescent="0.3">
      <c r="A170" s="386"/>
      <c r="B170" s="123"/>
      <c r="C170" s="400"/>
      <c r="D170" s="305"/>
      <c r="E170" s="307"/>
      <c r="F170" s="307"/>
      <c r="G170" s="132"/>
      <c r="H170" s="132"/>
      <c r="I170" s="132"/>
      <c r="J170" s="132"/>
      <c r="K170" s="132"/>
      <c r="L170" s="132"/>
      <c r="M170"/>
      <c r="N170"/>
      <c r="O170" s="338"/>
      <c r="Q170" s="2"/>
      <c r="R170" s="2"/>
      <c r="S170" s="2"/>
      <c r="T170" s="2"/>
      <c r="U170" s="2"/>
      <c r="V170" s="198"/>
      <c r="W170" s="303"/>
      <c r="X170" s="191"/>
      <c r="Y170" s="224"/>
      <c r="Z170" s="231"/>
      <c r="AA170" s="228"/>
      <c r="AB170" s="2"/>
    </row>
    <row r="171" spans="1:46" s="11" customFormat="1" x14ac:dyDescent="0.3">
      <c r="A171" s="10"/>
      <c r="B171" s="8"/>
      <c r="C171" s="84"/>
      <c r="F171" s="85"/>
      <c r="G171" s="85"/>
      <c r="H171" s="85"/>
      <c r="I171" s="85"/>
      <c r="L171" s="2"/>
      <c r="M171" s="2"/>
      <c r="N171" s="2"/>
      <c r="O171" s="324"/>
      <c r="Q171" s="2"/>
      <c r="R171" s="2"/>
      <c r="S171" s="2"/>
      <c r="T171" s="2"/>
      <c r="U171" s="2"/>
      <c r="V171" s="14"/>
      <c r="W171" s="14"/>
      <c r="X171" s="191"/>
      <c r="Y171" s="14"/>
      <c r="Z171" s="231"/>
      <c r="AA171" s="2"/>
      <c r="AB171" s="2"/>
    </row>
    <row r="172" spans="1:46" s="11" customFormat="1" x14ac:dyDescent="0.3">
      <c r="A172" s="10"/>
      <c r="B172" s="8"/>
      <c r="C172" s="84"/>
      <c r="F172" s="85"/>
      <c r="G172" s="85"/>
      <c r="H172" s="85"/>
      <c r="I172" s="85"/>
      <c r="L172" s="2"/>
      <c r="M172" s="2"/>
      <c r="N172" s="2"/>
      <c r="O172" s="324"/>
      <c r="Q172" s="2"/>
      <c r="R172" s="2"/>
      <c r="S172" s="2"/>
      <c r="T172" s="2"/>
      <c r="U172" s="2"/>
      <c r="V172" s="14"/>
      <c r="W172" s="14"/>
      <c r="X172" s="191"/>
      <c r="Y172" s="14"/>
      <c r="Z172" s="231"/>
      <c r="AA172" s="2"/>
      <c r="AB172" s="2"/>
    </row>
    <row r="173" spans="1:46" s="11" customFormat="1" x14ac:dyDescent="0.3">
      <c r="F173" s="85"/>
      <c r="G173" s="85"/>
      <c r="H173" s="85"/>
      <c r="I173" s="85"/>
      <c r="L173" s="2"/>
      <c r="M173" s="2"/>
      <c r="N173" s="2"/>
      <c r="O173" s="324"/>
      <c r="Q173" s="2"/>
      <c r="R173" s="2"/>
      <c r="S173" s="2"/>
      <c r="T173" s="2"/>
      <c r="U173" s="2"/>
      <c r="V173" s="14"/>
      <c r="W173" s="14"/>
      <c r="X173" s="191"/>
      <c r="Y173" s="14"/>
      <c r="Z173" s="231"/>
      <c r="AA173" s="2"/>
      <c r="AB173" s="2"/>
    </row>
    <row r="174" spans="1:46" s="11" customFormat="1" x14ac:dyDescent="0.3">
      <c r="A174" s="10"/>
      <c r="B174" s="8"/>
      <c r="C174" s="84"/>
      <c r="F174" s="2"/>
      <c r="G174" s="2"/>
      <c r="H174" s="2"/>
      <c r="I174" s="2"/>
      <c r="L174" s="2"/>
      <c r="M174" s="2"/>
      <c r="N174" s="2"/>
      <c r="O174" s="324"/>
      <c r="Q174" s="2"/>
      <c r="R174" s="2"/>
      <c r="S174" s="2"/>
      <c r="T174" s="2"/>
      <c r="U174" s="2"/>
      <c r="V174" s="14"/>
      <c r="W174" s="14"/>
      <c r="X174" s="191"/>
      <c r="Y174" s="14"/>
      <c r="Z174" s="231"/>
      <c r="AA174" s="2"/>
      <c r="AB174" s="2"/>
    </row>
    <row r="175" spans="1:46" x14ac:dyDescent="0.3">
      <c r="O175" s="324"/>
      <c r="Z175" s="231"/>
      <c r="AC175" s="11"/>
      <c r="AD175" s="11"/>
      <c r="AE175" s="11"/>
      <c r="AF175" s="11"/>
      <c r="AG175" s="11"/>
      <c r="AH175" s="11"/>
      <c r="AI175" s="11"/>
      <c r="AJ175" s="11"/>
      <c r="AK175" s="11"/>
      <c r="AL175" s="11"/>
      <c r="AM175" s="11"/>
      <c r="AN175" s="11"/>
      <c r="AO175" s="11"/>
      <c r="AP175" s="11"/>
      <c r="AQ175" s="11"/>
      <c r="AR175" s="11"/>
      <c r="AS175" s="11"/>
      <c r="AT175" s="11"/>
    </row>
    <row r="176" spans="1:46" x14ac:dyDescent="0.3">
      <c r="O176" s="324"/>
      <c r="Z176" s="231"/>
      <c r="AD176" s="11"/>
      <c r="AE176" s="11"/>
      <c r="AF176" s="11"/>
      <c r="AG176" s="11"/>
      <c r="AH176" s="11"/>
      <c r="AI176" s="11"/>
      <c r="AJ176" s="11"/>
      <c r="AK176" s="11"/>
      <c r="AL176" s="11"/>
      <c r="AM176" s="11"/>
      <c r="AN176" s="11"/>
      <c r="AO176" s="11"/>
      <c r="AP176" s="11"/>
      <c r="AQ176" s="11"/>
      <c r="AR176" s="11"/>
      <c r="AS176" s="11"/>
      <c r="AT176" s="11"/>
    </row>
    <row r="177" spans="15:26" x14ac:dyDescent="0.3">
      <c r="O177" s="324"/>
      <c r="Z177" s="231"/>
    </row>
    <row r="178" spans="15:26" x14ac:dyDescent="0.3">
      <c r="O178" s="324"/>
      <c r="Z178" s="231"/>
    </row>
    <row r="179" spans="15:26" x14ac:dyDescent="0.3">
      <c r="O179" s="324"/>
      <c r="Z179" s="231"/>
    </row>
    <row r="180" spans="15:26" x14ac:dyDescent="0.3">
      <c r="Z180" s="231"/>
    </row>
    <row r="181" spans="15:26" x14ac:dyDescent="0.3">
      <c r="Z181" s="231"/>
    </row>
    <row r="182" spans="15:26" x14ac:dyDescent="0.3">
      <c r="Z182" s="231"/>
    </row>
    <row r="183" spans="15:26" x14ac:dyDescent="0.3">
      <c r="Z183" s="231"/>
    </row>
    <row r="184" spans="15:26" x14ac:dyDescent="0.3">
      <c r="Z184" s="231"/>
    </row>
    <row r="185" spans="15:26" x14ac:dyDescent="0.3">
      <c r="Z185" s="231"/>
    </row>
    <row r="186" spans="15:26" x14ac:dyDescent="0.3">
      <c r="Z186" s="231"/>
    </row>
    <row r="187" spans="15:26" x14ac:dyDescent="0.3">
      <c r="Z187" s="231"/>
    </row>
    <row r="188" spans="15:26" x14ac:dyDescent="0.3">
      <c r="Z188" s="231"/>
    </row>
    <row r="189" spans="15:26" x14ac:dyDescent="0.3">
      <c r="Z189" s="231"/>
    </row>
    <row r="190" spans="15:26" x14ac:dyDescent="0.3">
      <c r="Z190" s="231"/>
    </row>
    <row r="191" spans="15:26" x14ac:dyDescent="0.3">
      <c r="Z191" s="231"/>
    </row>
    <row r="192" spans="15:26" x14ac:dyDescent="0.3">
      <c r="Z192" s="231"/>
    </row>
    <row r="193" spans="2:26" x14ac:dyDescent="0.3">
      <c r="Z193" s="231"/>
    </row>
    <row r="194" spans="2:26" x14ac:dyDescent="0.3">
      <c r="Z194" s="231"/>
    </row>
    <row r="195" spans="2:26" x14ac:dyDescent="0.3">
      <c r="Z195" s="231"/>
    </row>
    <row r="196" spans="2:26" x14ac:dyDescent="0.3">
      <c r="B196" s="230"/>
      <c r="Z196" s="231"/>
    </row>
    <row r="197" spans="2:26" x14ac:dyDescent="0.3">
      <c r="Z197" s="231"/>
    </row>
    <row r="198" spans="2:26" x14ac:dyDescent="0.3">
      <c r="Z198" s="231"/>
    </row>
    <row r="199" spans="2:26" x14ac:dyDescent="0.3">
      <c r="Z199" s="231"/>
    </row>
    <row r="200" spans="2:26" x14ac:dyDescent="0.3">
      <c r="Z200" s="231"/>
    </row>
    <row r="201" spans="2:26" x14ac:dyDescent="0.3">
      <c r="Z201" s="231"/>
    </row>
    <row r="202" spans="2:26" x14ac:dyDescent="0.3">
      <c r="Z202" s="231"/>
    </row>
    <row r="203" spans="2:26" x14ac:dyDescent="0.3">
      <c r="Z203" s="231"/>
    </row>
    <row r="204" spans="2:26" x14ac:dyDescent="0.3">
      <c r="Z204" s="231"/>
    </row>
    <row r="205" spans="2:26" x14ac:dyDescent="0.3">
      <c r="Z205" s="231"/>
    </row>
    <row r="206" spans="2:26" x14ac:dyDescent="0.3">
      <c r="Z206" s="231"/>
    </row>
    <row r="207" spans="2:26" x14ac:dyDescent="0.3">
      <c r="Z207" s="231"/>
    </row>
    <row r="208" spans="2:26" x14ac:dyDescent="0.3">
      <c r="Z208" s="231"/>
    </row>
    <row r="209" spans="26:26" x14ac:dyDescent="0.3">
      <c r="Z209" s="231"/>
    </row>
    <row r="210" spans="26:26" x14ac:dyDescent="0.3">
      <c r="Z210" s="231"/>
    </row>
    <row r="211" spans="26:26" x14ac:dyDescent="0.3">
      <c r="Z211" s="231"/>
    </row>
    <row r="212" spans="26:26" x14ac:dyDescent="0.3">
      <c r="Z212" s="231"/>
    </row>
  </sheetData>
  <mergeCells count="179">
    <mergeCell ref="B78:C78"/>
    <mergeCell ref="E8:F8"/>
    <mergeCell ref="A126:D126"/>
    <mergeCell ref="A110:D110"/>
    <mergeCell ref="H115:H117"/>
    <mergeCell ref="A153:B153"/>
    <mergeCell ref="E126:I126"/>
    <mergeCell ref="E111:I113"/>
    <mergeCell ref="G115:G117"/>
    <mergeCell ref="G28:L28"/>
    <mergeCell ref="G29:L29"/>
    <mergeCell ref="G30:L30"/>
    <mergeCell ref="G31:L31"/>
    <mergeCell ref="G32:L32"/>
    <mergeCell ref="F115:F117"/>
    <mergeCell ref="E121:I121"/>
    <mergeCell ref="E129:J129"/>
    <mergeCell ref="F74:L74"/>
    <mergeCell ref="F73:L73"/>
    <mergeCell ref="F79:L79"/>
    <mergeCell ref="F80:L80"/>
    <mergeCell ref="F82:L82"/>
    <mergeCell ref="F83:L83"/>
    <mergeCell ref="F84:L84"/>
    <mergeCell ref="D17:E18"/>
    <mergeCell ref="A17:B17"/>
    <mergeCell ref="D22:E22"/>
    <mergeCell ref="D23:E23"/>
    <mergeCell ref="B20:C20"/>
    <mergeCell ref="A37:H37"/>
    <mergeCell ref="B24:C24"/>
    <mergeCell ref="D28:E28"/>
    <mergeCell ref="D29:E29"/>
    <mergeCell ref="D30:E30"/>
    <mergeCell ref="D31:E31"/>
    <mergeCell ref="G17:L18"/>
    <mergeCell ref="G19:L19"/>
    <mergeCell ref="G20:L20"/>
    <mergeCell ref="G21:L21"/>
    <mergeCell ref="G22:L22"/>
    <mergeCell ref="G23:L23"/>
    <mergeCell ref="G24:L24"/>
    <mergeCell ref="G25:L25"/>
    <mergeCell ref="G26:L26"/>
    <mergeCell ref="B21:C21"/>
    <mergeCell ref="D21:E21"/>
    <mergeCell ref="D20:E20"/>
    <mergeCell ref="G27:L27"/>
    <mergeCell ref="A60:B60"/>
    <mergeCell ref="F39:L39"/>
    <mergeCell ref="F40:L40"/>
    <mergeCell ref="F41:L41"/>
    <mergeCell ref="F42:L42"/>
    <mergeCell ref="G5:J5"/>
    <mergeCell ref="C5:F5"/>
    <mergeCell ref="C6:F6"/>
    <mergeCell ref="B25:C25"/>
    <mergeCell ref="B33:C33"/>
    <mergeCell ref="A9:B9"/>
    <mergeCell ref="D26:E26"/>
    <mergeCell ref="B22:C22"/>
    <mergeCell ref="B23:C23"/>
    <mergeCell ref="D19:E19"/>
    <mergeCell ref="B19:C19"/>
    <mergeCell ref="D32:E32"/>
    <mergeCell ref="D24:E24"/>
    <mergeCell ref="D33:E33"/>
    <mergeCell ref="B26:C26"/>
    <mergeCell ref="B27:C27"/>
    <mergeCell ref="D25:E25"/>
    <mergeCell ref="D27:E27"/>
    <mergeCell ref="G33:L33"/>
    <mergeCell ref="C92:D92"/>
    <mergeCell ref="D96:E96"/>
    <mergeCell ref="D99:E99"/>
    <mergeCell ref="D103:E103"/>
    <mergeCell ref="D106:E106"/>
    <mergeCell ref="C153:E153"/>
    <mergeCell ref="F131:I131"/>
    <mergeCell ref="A79:B79"/>
    <mergeCell ref="D94:E94"/>
    <mergeCell ref="A111:B111"/>
    <mergeCell ref="A117:B117"/>
    <mergeCell ref="E115:E117"/>
    <mergeCell ref="C131:C132"/>
    <mergeCell ref="I115:I117"/>
    <mergeCell ref="A164:B164"/>
    <mergeCell ref="F90:L90"/>
    <mergeCell ref="F91:L91"/>
    <mergeCell ref="F96:L96"/>
    <mergeCell ref="F99:L99"/>
    <mergeCell ref="F97:L97"/>
    <mergeCell ref="E132:L132"/>
    <mergeCell ref="E140:L140"/>
    <mergeCell ref="G152:L152"/>
    <mergeCell ref="E133:L133"/>
    <mergeCell ref="E134:L134"/>
    <mergeCell ref="E135:L135"/>
    <mergeCell ref="E136:L136"/>
    <mergeCell ref="E137:L137"/>
    <mergeCell ref="E138:L138"/>
    <mergeCell ref="E142:L142"/>
    <mergeCell ref="E141:L141"/>
    <mergeCell ref="G154:L154"/>
    <mergeCell ref="D146:E146"/>
    <mergeCell ref="F100:L100"/>
    <mergeCell ref="F101:L101"/>
    <mergeCell ref="F104:L104"/>
    <mergeCell ref="F107:L107"/>
    <mergeCell ref="K118:L118"/>
    <mergeCell ref="F43:L43"/>
    <mergeCell ref="F44:L44"/>
    <mergeCell ref="F45:L45"/>
    <mergeCell ref="F46:L46"/>
    <mergeCell ref="F47:L47"/>
    <mergeCell ref="F48:L48"/>
    <mergeCell ref="F49:L49"/>
    <mergeCell ref="AN115:AN124"/>
    <mergeCell ref="AO115:AO124"/>
    <mergeCell ref="F50:L50"/>
    <mergeCell ref="F51:L51"/>
    <mergeCell ref="F64:L64"/>
    <mergeCell ref="F65:L65"/>
    <mergeCell ref="F66:L66"/>
    <mergeCell ref="F67:L67"/>
    <mergeCell ref="F68:L68"/>
    <mergeCell ref="F69:L69"/>
    <mergeCell ref="F70:L70"/>
    <mergeCell ref="F71:L71"/>
    <mergeCell ref="F72:L72"/>
    <mergeCell ref="F52:L52"/>
    <mergeCell ref="F53:L53"/>
    <mergeCell ref="F54:L54"/>
    <mergeCell ref="F55:L55"/>
    <mergeCell ref="AP115:AP124"/>
    <mergeCell ref="AQ115:AQ124"/>
    <mergeCell ref="AR115:AR124"/>
    <mergeCell ref="AS115:AS124"/>
    <mergeCell ref="AT115:AT124"/>
    <mergeCell ref="AF115:AF124"/>
    <mergeCell ref="AG115:AG124"/>
    <mergeCell ref="AH115:AH124"/>
    <mergeCell ref="AI115:AI124"/>
    <mergeCell ref="AJ115:AJ124"/>
    <mergeCell ref="AK115:AK124"/>
    <mergeCell ref="AL115:AL124"/>
    <mergeCell ref="AM115:AM124"/>
    <mergeCell ref="F56:L56"/>
    <mergeCell ref="F60:L60"/>
    <mergeCell ref="F61:L61"/>
    <mergeCell ref="F62:L62"/>
    <mergeCell ref="F63:L63"/>
    <mergeCell ref="F86:L86"/>
    <mergeCell ref="F87:L87"/>
    <mergeCell ref="F88:L88"/>
    <mergeCell ref="F89:L89"/>
    <mergeCell ref="F81:L81"/>
    <mergeCell ref="F85:L85"/>
    <mergeCell ref="K121:L121"/>
    <mergeCell ref="K123:L123"/>
    <mergeCell ref="K128:L128"/>
    <mergeCell ref="K129:L129"/>
    <mergeCell ref="F103:L103"/>
    <mergeCell ref="F106:L106"/>
    <mergeCell ref="K115:L117"/>
    <mergeCell ref="K127:L127"/>
    <mergeCell ref="G167:L167"/>
    <mergeCell ref="G168:L168"/>
    <mergeCell ref="G169:L169"/>
    <mergeCell ref="G155:L155"/>
    <mergeCell ref="G156:L156"/>
    <mergeCell ref="G157:L157"/>
    <mergeCell ref="G158:L158"/>
    <mergeCell ref="G159:L159"/>
    <mergeCell ref="G163:L163"/>
    <mergeCell ref="G164:L164"/>
    <mergeCell ref="G165:L165"/>
    <mergeCell ref="G166:L166"/>
    <mergeCell ref="G162:L162"/>
  </mergeCells>
  <phoneticPr fontId="0" type="noConversion"/>
  <conditionalFormatting sqref="D94:E94">
    <cfRule type="expression" dxfId="47" priority="14">
      <formula>$C$92&gt;0</formula>
    </cfRule>
  </conditionalFormatting>
  <conditionalFormatting sqref="I115">
    <cfRule type="expression" dxfId="46" priority="12">
      <formula>AND(I118&gt;0,LEN(K118)=0)</formula>
    </cfRule>
  </conditionalFormatting>
  <conditionalFormatting sqref="AF127:AT132">
    <cfRule type="expression" dxfId="45" priority="11">
      <formula>AF127</formula>
    </cfRule>
  </conditionalFormatting>
  <conditionalFormatting sqref="C142:C147">
    <cfRule type="expression" dxfId="44" priority="10">
      <formula>LEN($D$142)&gt;1</formula>
    </cfRule>
  </conditionalFormatting>
  <conditionalFormatting sqref="AF125:AT126">
    <cfRule type="expression" dxfId="43" priority="9">
      <formula>AF125</formula>
    </cfRule>
  </conditionalFormatting>
  <conditionalFormatting sqref="E79">
    <cfRule type="expression" dxfId="42" priority="8">
      <formula>COUNTA($C$80:$D$90)&gt;1</formula>
    </cfRule>
  </conditionalFormatting>
  <conditionalFormatting sqref="E60">
    <cfRule type="expression" dxfId="41" priority="7">
      <formula>COUNTA($C$61:$D$71)&gt;0</formula>
    </cfRule>
  </conditionalFormatting>
  <conditionalFormatting sqref="I117">
    <cfRule type="expression" dxfId="40" priority="16">
      <formula>AND(I121&gt;0,LEN(K123)=0)</formula>
    </cfRule>
  </conditionalFormatting>
  <conditionalFormatting sqref="I116">
    <cfRule type="expression" dxfId="39" priority="17">
      <formula>AND(#REF!&gt;0,LEN(K121)=0)</formula>
    </cfRule>
  </conditionalFormatting>
  <conditionalFormatting sqref="D96:E96">
    <cfRule type="expression" dxfId="38" priority="6">
      <formula>$C$92&gt;0</formula>
    </cfRule>
  </conditionalFormatting>
  <conditionalFormatting sqref="D99:E99">
    <cfRule type="expression" dxfId="37" priority="5">
      <formula>$C$92&gt;0</formula>
    </cfRule>
  </conditionalFormatting>
  <conditionalFormatting sqref="D103:E103">
    <cfRule type="expression" dxfId="36" priority="4">
      <formula>$C$92&gt;0</formula>
    </cfRule>
  </conditionalFormatting>
  <conditionalFormatting sqref="D106:E106">
    <cfRule type="expression" dxfId="35" priority="3">
      <formula>$C$92&gt;0</formula>
    </cfRule>
  </conditionalFormatting>
  <conditionalFormatting sqref="D20:E20">
    <cfRule type="expression" dxfId="34" priority="2">
      <formula>NOT(ISBLANK($B$19))</formula>
    </cfRule>
  </conditionalFormatting>
  <conditionalFormatting sqref="D146:E146">
    <cfRule type="expression" dxfId="33" priority="1">
      <formula>$C$92&gt;0</formula>
    </cfRule>
  </conditionalFormatting>
  <dataValidations xWindow="648" yWindow="743" count="29">
    <dataValidation type="custom" allowBlank="1" showInputMessage="1" showErrorMessage="1" errorTitle="Cell contents" error="Please enter_x000a_whole numbers, NA, or NK_x000a_in this cell" promptTitle="8.6 Procedural/directional enqs." prompt="Includes those relating to the location of individual areas of book stock, catalogue, special services, eg &quot;how do I join?&quot;_x000a__x000a_" sqref="C122" xr:uid="{00000000-0002-0000-0000-000000000000}">
      <formula1>IF(ISNUMBER(C122),MOD(C122,1)=0,OR(C122="NK",C122="NA"))</formula1>
    </dataValidation>
    <dataValidation type="custom" allowBlank="1" showInputMessage="1" showErrorMessage="1" errorTitle="Cell contents" error="Please enter_x000a_whole numbers, NA, or NK_x000a_in this cell" promptTitle="9.2  User Education Numbers." prompt=" " sqref="C129" xr:uid="{00000000-0002-0000-0000-000001000000}">
      <formula1>IF(ISNUMBER(C129),MOD(C129,1)=0,OR(C129="NK",C129="NA"))</formula1>
    </dataValidation>
    <dataValidation type="custom" allowBlank="1" showInputMessage="1" showErrorMessage="1" errorTitle="Cell contents" error="Please enter_x000a_whole numbers, NA, or NK_x000a_in this cell" promptTitle="6.1 Loans from &quot;NHS in England&quot;" prompt="_x000a_Count a renewal as a loan._x000a__x000a_Other libraries - _x000a_- in local/regional inter-lending and documents supply schemes,_x000a_- in national schemes such as PLCS and_x000a_- such as those of the British Library, BMA, RCSEng etc." sqref="C104" xr:uid="{00000000-0002-0000-0000-000002000000}">
      <formula1>IF(ISNUMBER(C104),MOD(C104,1)=0,OR(C104="NK",C104="NA"))</formula1>
    </dataValidation>
    <dataValidation type="custom" allowBlank="1" showErrorMessage="1" errorTitle="Cell contents" error="Please enter_x000a_whole numbers, NA, or NK_x000a_in this cell" promptTitle="5.2 Loans to libs - local" prompt="Local geographic inter-lending networks for which you are members. _x000a__x000a_EXCLUDE loans made to national schemes such as PLCS and libraries such as BMA, RCSEng etc and enter these loans against 5.3." sqref="C100" xr:uid="{00000000-0002-0000-0000-000003000000}">
      <formula1>IF(ISNUMBER(C100),MOD(C100,1)=0,OR(C100="NK",C100="NA"))</formula1>
    </dataValidation>
    <dataValidation type="list" showInputMessage="1" showErrorMessage="1" sqref="C7" xr:uid="{00000000-0002-0000-0000-000005000000}">
      <formula1>SECTOR</formula1>
    </dataValidation>
    <dataValidation allowBlank="1" showErrorMessage="1" sqref="C90" xr:uid="{00000000-0002-0000-0000-000006000000}"/>
    <dataValidation type="list" allowBlank="1" showInputMessage="1" showErrorMessage="1" sqref="E21:E26 E29:E33 D19:E20 D21:D33" xr:uid="{00000000-0002-0000-0000-000007000000}">
      <formula1>TYPE</formula1>
    </dataValidation>
    <dataValidation type="list" allowBlank="1" showInputMessage="1" showErrorMessage="1" sqref="B15" xr:uid="{00000000-0002-0000-0000-000008000000}">
      <formula1>PERIOD</formula1>
    </dataValidation>
    <dataValidation type="decimal" operator="greaterThan" allowBlank="1" showInputMessage="1" showErrorMessage="1" errorTitle="Income" error="Income should only be entered as a positive number._x000a_Please remove the minus sign and re-enter the number as a positive number." sqref="D91" xr:uid="{00000000-0002-0000-0000-000009000000}">
      <formula1>0</formula1>
    </dataValidation>
    <dataValidation type="custom" allowBlank="1" showInputMessage="1" showErrorMessage="1" errorTitle="Cell contents" error="Please enter_x000a_whole numbers, NA, or NK_x000a_in this cell" promptTitle="7.1 Copies from other libraries" prompt="_x000a_Other libraries - _x000a_- in local/regional inter-lending and documents supply schemes,_x000a_- in national schemes such as PLCS and_x000a_- such as those of the British Library, BMA, RCSEng etc._x000a_" sqref="C107" xr:uid="{00000000-0002-0000-0000-00000A000000}">
      <formula1>IF(ISNUMBER(C107),MOD(C107,1)=0,OR(C107="NK",C107="NA"))</formula1>
    </dataValidation>
    <dataValidation type="whole" allowBlank="1" showErrorMessage="1" errorTitle="9.1 Mediated lit. searches" error="Please enter 1 for YES and 0 for NO" sqref="C113:D114 C133:C138 WVK112:WVL114 WLO112:WLP114 WBS112:WBT114 VRW112:VRX114 VIA112:VIB114 UYE112:UYF114 UOI112:UOJ114 UEM112:UEN114 TUQ112:TUR114 TKU112:TKV114 TAY112:TAZ114 SRC112:SRD114 SHG112:SHH114 RXK112:RXL114 RNO112:RNP114 RDS112:RDT114 QTW112:QTX114 QKA112:QKB114 QAE112:QAF114 PQI112:PQJ114 PGM112:PGN114 OWQ112:OWR114 OMU112:OMV114 OCY112:OCZ114 NTC112:NTD114 NJG112:NJH114 MZK112:MZL114 MPO112:MPP114 MFS112:MFT114 LVW112:LVX114 LMA112:LMB114 LCE112:LCF114 KSI112:KSJ114 KIM112:KIN114 JYQ112:JYR114 JOU112:JOV114 JEY112:JEZ114 IVC112:IVD114 ILG112:ILH114 IBK112:IBL114 HRO112:HRP114 HHS112:HHT114 GXW112:GXX114 GOA112:GOB114 GEE112:GEF114 FUI112:FUJ114 FKM112:FKN114 FAQ112:FAR114 EQU112:EQV114 EGY112:EGZ114 DXC112:DXD114 DNG112:DNH114 DDK112:DDL114 CTO112:CTP114 CJS112:CJT114 BZW112:BZX114 BQA112:BQB114 BGE112:BGF114 AWI112:AWJ114 AMM112:AMN114 ACQ112:ACR114 SU112:SV114 IY112:IZ114 C154:D159 C163 C165:C170" xr:uid="{00000000-0002-0000-0000-00000B000000}">
      <formula1>0</formula1>
      <formula2>1</formula2>
    </dataValidation>
    <dataValidation type="decimal" operator="greaterThanOrEqual" allowBlank="1" showErrorMessage="1" errorTitle="Income" error="Income should only be entered as a positive number._x000a_Please remove the minus sign and re-enter the number as a positive number." sqref="D90 C80:D89" xr:uid="{00000000-0002-0000-0000-00000C000000}">
      <formula1>0</formula1>
    </dataValidation>
    <dataValidation type="decimal" operator="greaterThanOrEqual" allowBlank="1" showInputMessage="1" showErrorMessage="1" sqref="C73:D74" xr:uid="{00000000-0002-0000-0000-00000D000000}">
      <formula1>0</formula1>
    </dataValidation>
    <dataValidation type="custom" allowBlank="1" showInputMessage="1" showErrorMessage="1" errorTitle="Cell contents" error="Please enter_x000a_whole numbers, NA, or NK_x000a_in this cell" sqref="C130 C174 E128 C171:C172 C164" xr:uid="{00000000-0002-0000-0000-00000E000000}">
      <formula1>IF(ISNUMBER(C128),MOD(C128,1)=0,OR(C128="NK",C128="NA"))</formula1>
    </dataValidation>
    <dataValidation type="whole" allowBlank="1" showInputMessage="1" showErrorMessage="1" errorTitle="4.13 CIP" error="Enter 1 for YES and 0 for NO" promptTitle="3.13 CIP" prompt="Enter 1 for YES and 0 for NO" sqref="C94" xr:uid="{00000000-0002-0000-0000-00000F000000}">
      <formula1>0</formula1>
      <formula2>1</formula2>
    </dataValidation>
    <dataValidation type="whole" allowBlank="1" showInputMessage="1" showErrorMessage="1" sqref="E154:E159" xr:uid="{00000000-0002-0000-0000-000010000000}">
      <formula1>0</formula1>
      <formula2>1</formula2>
    </dataValidation>
    <dataValidation type="whole" operator="greaterThanOrEqual" allowBlank="1" showInputMessage="1" showErrorMessage="1" errorTitle="Cell contents" error="Please enter whole numbers only in this cell" sqref="C50:C57 C40:C48" xr:uid="{00000000-0002-0000-0000-000011000000}">
      <formula1>0</formula1>
    </dataValidation>
    <dataValidation type="custom" allowBlank="1" showInputMessage="1" showErrorMessage="1" errorTitle="Cell contents" error="Please enter_x000a_whole numbers, NA, or NK_x000a_in this cell" promptTitle="4.1 Loans to other libraries" prompt="_x000a_Count a renewal as a loan._x000a__x000a_Other libraries - _x000a_- in local/regional inter-lending and documents supply schemes,_x000a_- in national schemes such as PLCS and_x000a_- such as those of the British Library, BMA, RCSEng etc." sqref="C97" xr:uid="{00000000-0002-0000-0000-000012000000}">
      <formula1>IF(ISNUMBER(C97),MOD(C97,1)=0,OR(C97="NK",C97="NA"))</formula1>
    </dataValidation>
    <dataValidation type="custom" allowBlank="1" showInputMessage="1" showErrorMessage="1" errorTitle="Cell contents" error="Please enter_x000a_whole numbers, NA, or NK_x000a_in this cell" promptTitle="5.2 Copies for other libraries" prompt="_x000a_Other libraries - _x000a_- in local/regional inter-lending and documents supply schemes,_x000a_- in national schemes such as PLCS and_x000a_- such as those of the British Library, BMA, RCSEng etc." sqref="C101" xr:uid="{00000000-0002-0000-0000-000013000000}">
      <formula1>IF(ISNUMBER(C101),MOD(C101,1)=0,OR(C101="NK",C101="NA"))</formula1>
    </dataValidation>
    <dataValidation type="whole" allowBlank="1" showInputMessage="1" showErrorMessage="1" errorTitle="9.1 Mediated lit. searches" error="Please enter 1 for YES and 0 for NO" promptTitle="8.1 Mediated searching service" prompt="A mediated searching service: a service where library staff undertake literature searches on behalf of users._x000a__x000a_Assisted searches: the requestor is sitting beside the librarian or  starts the search but then requests help with it - record in 9_x000a_" sqref="C112" xr:uid="{00000000-0002-0000-0000-000014000000}">
      <formula1>0</formula1>
      <formula2>1</formula2>
    </dataValidation>
    <dataValidation type="decimal" operator="greaterThanOrEqual" allowBlank="1" showInputMessage="1" showErrorMessage="1" error="Positive numbers only please_x000a__x000a_RETRY to Edit   CANCEL to Quit" sqref="C61:D71" xr:uid="{00000000-0002-0000-0000-000015000000}">
      <formula1>0</formula1>
    </dataValidation>
    <dataValidation type="custom" allowBlank="1" showInputMessage="1" showErrorMessage="1" errorTitle="Cell contents" error="Please enter_x000a_whole numbers, NA, or NK_x000a_in this cell" promptTitle="8.4 Mediated Literature Searches" prompt=" library staff undertake literature searches on behalf of users. This service may not be provided to students_x000a__x000a_Assisted Searches should be in section 9_x000a_" sqref="C118:C119" xr:uid="{00000000-0002-0000-0000-000016000000}">
      <formula1>IF(ISNUMBER(C118),MOD(C118,1)=0,OR(C118="NK",C118="NA"))</formula1>
    </dataValidation>
    <dataValidation type="custom" allowBlank="1" showInputMessage="1" showErrorMessage="1" errorTitle="Cell contents" error="Please enter_x000a_whole numbers, NA, or NK_x000a_in this cell" promptTitle="9.1 User Education Sessions" prompt="_x000a_" sqref="C128" xr:uid="{00000000-0002-0000-0000-000017000000}">
      <formula1>IF(ISNUMBER(C128),MOD(C128,1)=0,OR(C128="NK",C128="NA"))</formula1>
    </dataValidation>
    <dataValidation type="whole" allowBlank="1" showErrorMessage="1" errorTitle="9.1 Mediated lit. searches" error="Please enter 1 for YES and 0 for NO" sqref="C141" xr:uid="{00000000-0002-0000-0000-000018000000}">
      <formula1>0</formula1>
      <formula2>2000</formula2>
    </dataValidation>
    <dataValidation type="whole" allowBlank="1" showErrorMessage="1" errorTitle="9.1 Mediated lit. searches" error="Whole numbers only please" sqref="C142:C145 C147" xr:uid="{00000000-0002-0000-0000-000019000000}">
      <formula1>0</formula1>
      <formula2>500</formula2>
    </dataValidation>
    <dataValidation type="custom" allowBlank="1" showInputMessage="1" showErrorMessage="1" errorTitle="Cell contents" error="Please enter_x000a_whole numbers, NA, or NK_x000a_in this cell" promptTitle="8.5  Info. resource Enquiries" prompt="Resource related enquiries include those leading to the active involvement of staff in identifying and answering problems posed by library users, eg &quot;how do I search for..?&quot;_x000a_" sqref="C120:C121" xr:uid="{00000000-0002-0000-0000-00001A000000}">
      <formula1>IF(ISNUMBER(C120),MOD(C120,1)=0,OR(C120="NK",C120="NA"))</formula1>
    </dataValidation>
    <dataValidation type="decimal" operator="greaterThanOrEqual" allowBlank="1" showInputMessage="1" showErrorMessage="1" errorTitle="Income" error="Income should only be entered as a positive number._x000a_Please remove the minus sign and re-enter the number as a positive number." sqref="C91" xr:uid="{00000000-0002-0000-0000-00001B000000}">
      <formula1>0</formula1>
    </dataValidation>
    <dataValidation allowBlank="1" showErrorMessage="1" errorTitle="9.1 Mediated lit. searches" error="Whole numbers only please" sqref="C146" xr:uid="{2D8D0931-5677-4D84-AF2E-45760E854533}"/>
    <dataValidation type="list" allowBlank="1" showInputMessage="1" showErrorMessage="1" sqref="C6:F6" xr:uid="{C27AF9A3-21E7-4FBD-8B9D-0DCF5FD33F5C}">
      <formula1>INDIRECT(C5)</formula1>
    </dataValidation>
  </dataValidations>
  <hyperlinks>
    <hyperlink ref="B39" location="ESR" display="  ESR Staff Groups" xr:uid="{00000000-0004-0000-0000-000000000000}"/>
    <hyperlink ref="D152" location="'Guidance, definitions'!A200" display="'Guidance, definitions'!A200" xr:uid="{00000000-0004-0000-0000-000001000000}"/>
    <hyperlink ref="E152" location="'Guidance, definitions'!A200" display="'Guidance, definitions'!A200" xr:uid="{00000000-0004-0000-0000-000002000000}"/>
    <hyperlink ref="B158" location="'Guidance, definitions'!B204" display="Horizon scanning" xr:uid="{00000000-0004-0000-0000-000003000000}"/>
    <hyperlink ref="B133" location="'Guidance, definitions'!A192" display="Corporate/organisational?" xr:uid="{00000000-0004-0000-0000-000004000000}"/>
    <hyperlink ref="U18" location="LstCompletion" display="Lstcompletion" xr:uid="{00000000-0004-0000-0000-000005000000}"/>
    <hyperlink ref="Q18" location="LstOthers" display="Others" xr:uid="{00000000-0004-0000-0000-000006000000}"/>
    <hyperlink ref="V1" location="LineBreak" display="LineBreak" xr:uid="{00000000-0004-0000-0000-000007000000}"/>
    <hyperlink ref="Z3" location="ReportText" display="ReportText" xr:uid="{00000000-0004-0000-0000-000008000000}"/>
    <hyperlink ref="W1" location="Indent" display="Indent" xr:uid="{00000000-0004-0000-0000-000009000000}"/>
    <hyperlink ref="AF111" location="TblAnnualStatsComments" display="TblAnnualStatsComments" xr:uid="{00000000-0004-0000-0000-00000A000000}"/>
    <hyperlink ref="S1" location="NotStarted" display="NotStarted" xr:uid="{00000000-0004-0000-0000-00000C000000}"/>
    <hyperlink ref="U1" location="Finished" display="Finished" xr:uid="{00000000-0004-0000-0000-00000D000000}"/>
    <hyperlink ref="T1" location="Started" display="Started" xr:uid="{00000000-0004-0000-0000-00000E000000}"/>
    <hyperlink ref="O1" location="lstprogress" display="LstProgress" xr:uid="{00000000-0004-0000-0000-00000F000000}"/>
    <hyperlink ref="A118" location="G8.4" display="G8.4" xr:uid="{00000000-0004-0000-0000-000010000000}"/>
    <hyperlink ref="A120" location="G8.6" display="8.6a" xr:uid="{00000000-0004-0000-0000-000011000000}"/>
    <hyperlink ref="A122" location="G8.6" display="G8.6" xr:uid="{00000000-0004-0000-0000-000012000000}"/>
    <hyperlink ref="A112" location="G8.1" display="G8.1" xr:uid="{00000000-0004-0000-0000-000013000000}"/>
    <hyperlink ref="A113" location="G8.2" display="8.2 (NEW)" xr:uid="{00000000-0004-0000-0000-000014000000}"/>
    <hyperlink ref="A114" location="G8.3" display="8.3 (REV.)" xr:uid="{00000000-0004-0000-0000-000015000000}"/>
    <hyperlink ref="B49" location="Other" display="Other (Non ESR )" xr:uid="{00000000-0004-0000-0000-000016000000}"/>
    <hyperlink ref="A115" location="G8.4" display="G8.4" xr:uid="{CE347B13-A410-4D7D-B7BD-2D599E8A1AE8}"/>
  </hyperlinks>
  <printOptions headings="1"/>
  <pageMargins left="0.55118110236220474" right="0.55118110236220474" top="0.78740157480314965" bottom="0.55118110236220474" header="0.51181102362204722" footer="0.39370078740157483"/>
  <pageSetup paperSize="8" scale="82" fitToHeight="0" orientation="landscape" r:id="rId1"/>
  <headerFooter alignWithMargins="0">
    <oddHeader xml:space="preserve">&amp;C&amp;K000000Annual Library Services Statistical Return 2019-20 Part 2
</oddHeader>
    <oddFooter>&amp;LCreated: February 2019&amp;C&amp;P of &amp;N&amp;R&amp;P of &amp;N</oddFooter>
  </headerFooter>
  <rowBreaks count="3" manualBreakCount="3">
    <brk id="58" max="16383" man="1"/>
    <brk id="107" max="16383" man="1"/>
    <brk id="160" max="14" man="1"/>
  </rowBreaks>
  <ignoredErrors>
    <ignoredError sqref="A38 A58 A19:A33" numberStoredAsText="1"/>
    <ignoredError sqref="D56" formulaRange="1"/>
    <ignoredError sqref="C91" formulaRange="1" unlockedFormula="1"/>
    <ignoredError sqref="D57" unlockedFormula="1"/>
  </ignoredErrors>
  <drawing r:id="rId2"/>
  <legacyDrawing r:id="rId3"/>
  <extLst>
    <ext xmlns:x14="http://schemas.microsoft.com/office/spreadsheetml/2009/9/main" uri="{CCE6A557-97BC-4b89-ADB6-D9C93CAAB3DF}">
      <x14:dataValidations xmlns:xm="http://schemas.microsoft.com/office/excel/2006/main" xWindow="648" yWindow="743" count="1">
        <x14:dataValidation type="list" showInputMessage="1" showErrorMessage="1" xr:uid="{9A70A739-8E35-43ED-98CB-D3016177B63A}">
          <x14:formula1>
            <xm:f>LOV!$A$2:$A$12</xm:f>
          </x14:formula1>
          <xm:sqref>C5:F5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I239"/>
  <sheetViews>
    <sheetView showGridLines="0" topLeftCell="C1" zoomScaleNormal="100" zoomScaleSheetLayoutView="100" workbookViewId="0">
      <selection activeCell="C200" sqref="C200"/>
    </sheetView>
  </sheetViews>
  <sheetFormatPr defaultColWidth="9.26953125" defaultRowHeight="12" x14ac:dyDescent="0.3"/>
  <cols>
    <col min="1" max="1" width="15.26953125" style="137" hidden="1" customWidth="1"/>
    <col min="2" max="2" width="12.7265625" style="137" hidden="1" customWidth="1"/>
    <col min="3" max="3" width="24" style="164" customWidth="1"/>
    <col min="4" max="4" width="64.54296875" style="156" customWidth="1"/>
    <col min="5" max="7" width="9.26953125" style="137"/>
    <col min="8" max="8" width="10" style="137" customWidth="1"/>
    <col min="9" max="9" width="32" style="137" customWidth="1"/>
    <col min="10" max="16384" width="9.26953125" style="137"/>
  </cols>
  <sheetData>
    <row r="1" spans="1:9" ht="12.5" thickBot="1" x14ac:dyDescent="0.35">
      <c r="A1" s="137" t="s">
        <v>490</v>
      </c>
      <c r="B1" s="137" t="s">
        <v>491</v>
      </c>
      <c r="C1" s="614" t="s">
        <v>492</v>
      </c>
      <c r="D1" s="615"/>
      <c r="E1" s="615"/>
      <c r="F1" s="615"/>
      <c r="G1" s="615"/>
      <c r="H1" s="615"/>
      <c r="I1" s="616"/>
    </row>
    <row r="2" spans="1:9" ht="6.75" customHeight="1" x14ac:dyDescent="0.3">
      <c r="C2" s="612"/>
      <c r="D2" s="612"/>
      <c r="E2" s="612"/>
      <c r="F2" s="612"/>
      <c r="G2" s="612"/>
      <c r="H2" s="612"/>
      <c r="I2" s="612"/>
    </row>
    <row r="3" spans="1:9" x14ac:dyDescent="0.3">
      <c r="C3" s="612" t="s">
        <v>493</v>
      </c>
      <c r="D3" s="612"/>
      <c r="E3" s="612"/>
      <c r="F3" s="612"/>
      <c r="G3" s="612"/>
      <c r="H3" s="612"/>
      <c r="I3" s="612"/>
    </row>
    <row r="4" spans="1:9" x14ac:dyDescent="0.3">
      <c r="C4" s="613" t="s">
        <v>494</v>
      </c>
      <c r="D4" s="613"/>
      <c r="E4" s="613"/>
      <c r="F4" s="613"/>
      <c r="G4" s="613"/>
      <c r="H4" s="613"/>
      <c r="I4" s="613"/>
    </row>
    <row r="5" spans="1:9" ht="13.5" customHeight="1" x14ac:dyDescent="0.3">
      <c r="C5" s="613" t="s">
        <v>495</v>
      </c>
      <c r="D5" s="613"/>
      <c r="E5" s="613"/>
      <c r="F5" s="613"/>
      <c r="G5" s="613"/>
      <c r="H5" s="613"/>
      <c r="I5" s="613"/>
    </row>
    <row r="6" spans="1:9" ht="13.5" customHeight="1" thickBot="1" x14ac:dyDescent="0.35">
      <c r="C6" s="612"/>
      <c r="D6" s="612"/>
      <c r="E6" s="612"/>
      <c r="F6" s="612"/>
      <c r="G6" s="612"/>
      <c r="H6" s="612"/>
      <c r="I6" s="612"/>
    </row>
    <row r="7" spans="1:9" ht="12" customHeight="1" thickBot="1" x14ac:dyDescent="0.35">
      <c r="C7" s="614" t="s">
        <v>496</v>
      </c>
      <c r="D7" s="615"/>
      <c r="E7" s="615"/>
      <c r="F7" s="615"/>
      <c r="G7" s="615"/>
      <c r="H7" s="615"/>
      <c r="I7" s="616"/>
    </row>
    <row r="8" spans="1:9" ht="4.9000000000000004" customHeight="1" x14ac:dyDescent="0.3">
      <c r="C8" s="620"/>
      <c r="D8" s="620"/>
      <c r="E8" s="620"/>
      <c r="F8" s="620"/>
      <c r="G8" s="620"/>
      <c r="H8" s="620"/>
      <c r="I8" s="620"/>
    </row>
    <row r="9" spans="1:9" s="138" customFormat="1" ht="24" customHeight="1" x14ac:dyDescent="0.25">
      <c r="C9" s="580" t="s">
        <v>497</v>
      </c>
      <c r="D9" s="580"/>
      <c r="E9" s="580"/>
      <c r="F9" s="580"/>
      <c r="G9" s="580"/>
      <c r="H9" s="580"/>
      <c r="I9" s="580"/>
    </row>
    <row r="10" spans="1:9" s="138" customFormat="1" ht="12" customHeight="1" x14ac:dyDescent="0.25">
      <c r="C10" s="579" t="s">
        <v>498</v>
      </c>
      <c r="D10" s="579"/>
      <c r="E10" s="579"/>
      <c r="F10" s="579"/>
      <c r="G10" s="579"/>
      <c r="H10" s="579"/>
      <c r="I10" s="579"/>
    </row>
    <row r="11" spans="1:9" s="138" customFormat="1" ht="6" customHeight="1" x14ac:dyDescent="0.25">
      <c r="C11" s="580"/>
      <c r="D11" s="580"/>
      <c r="E11" s="580"/>
      <c r="F11" s="580"/>
      <c r="G11" s="580"/>
      <c r="H11" s="580"/>
      <c r="I11" s="580"/>
    </row>
    <row r="12" spans="1:9" s="138" customFormat="1" x14ac:dyDescent="0.25">
      <c r="A12" s="138" t="s">
        <v>499</v>
      </c>
      <c r="B12" s="138" t="str">
        <f>ADDRESS(ROW(C12),COLUMN(C12),4)&amp;":"&amp;ADDRESS(ROW(D15),COLUMN(D15),4)</f>
        <v>C12:D15</v>
      </c>
      <c r="C12" s="618" t="s">
        <v>500</v>
      </c>
      <c r="D12" s="618"/>
      <c r="E12" s="618"/>
      <c r="F12" s="618"/>
      <c r="G12" s="618"/>
      <c r="H12" s="618"/>
      <c r="I12" s="618"/>
    </row>
    <row r="13" spans="1:9" s="138" customFormat="1" x14ac:dyDescent="0.25">
      <c r="C13" s="159" t="s">
        <v>501</v>
      </c>
      <c r="D13" s="569" t="s">
        <v>502</v>
      </c>
      <c r="E13" s="569"/>
      <c r="F13" s="569"/>
      <c r="G13" s="569"/>
      <c r="H13" s="569"/>
      <c r="I13" s="569"/>
    </row>
    <row r="14" spans="1:9" s="138" customFormat="1" x14ac:dyDescent="0.25">
      <c r="C14" s="159" t="s">
        <v>503</v>
      </c>
      <c r="D14" s="569" t="s">
        <v>504</v>
      </c>
      <c r="E14" s="569"/>
      <c r="F14" s="569"/>
      <c r="G14" s="569"/>
      <c r="H14" s="569"/>
      <c r="I14" s="569"/>
    </row>
    <row r="15" spans="1:9" s="138" customFormat="1" x14ac:dyDescent="0.25">
      <c r="C15" s="159">
        <v>0</v>
      </c>
      <c r="D15" s="569" t="s">
        <v>505</v>
      </c>
      <c r="E15" s="569"/>
      <c r="F15" s="569"/>
      <c r="G15" s="569"/>
      <c r="H15" s="569"/>
      <c r="I15" s="569"/>
    </row>
    <row r="16" spans="1:9" s="138" customFormat="1" ht="10.5" customHeight="1" thickBot="1" x14ac:dyDescent="0.3">
      <c r="C16" s="619"/>
      <c r="D16" s="619"/>
      <c r="E16" s="619"/>
      <c r="F16" s="619"/>
      <c r="G16" s="619"/>
      <c r="H16" s="619"/>
      <c r="I16" s="619"/>
    </row>
    <row r="17" spans="1:9" s="139" customFormat="1" ht="12.5" thickBot="1" x14ac:dyDescent="0.3">
      <c r="C17" s="608" t="s">
        <v>506</v>
      </c>
      <c r="D17" s="609"/>
      <c r="E17" s="609"/>
      <c r="F17" s="609"/>
      <c r="G17" s="609"/>
      <c r="H17" s="609"/>
      <c r="I17" s="610"/>
    </row>
    <row r="18" spans="1:9" s="139" customFormat="1" ht="5.25" customHeight="1" x14ac:dyDescent="0.25">
      <c r="C18" s="160"/>
      <c r="D18" s="155"/>
      <c r="E18" s="399"/>
      <c r="F18" s="399"/>
      <c r="G18" s="399"/>
      <c r="H18" s="399"/>
      <c r="I18" s="399"/>
    </row>
    <row r="19" spans="1:9" s="139" customFormat="1" x14ac:dyDescent="0.25">
      <c r="A19" s="139" t="s">
        <v>507</v>
      </c>
      <c r="B19" s="138" t="str">
        <f>ADDRESS(ROW(C19),COLUMN(C19),4)&amp;":"&amp;ADDRESS(ROW(D21),COLUMN(D21),4)</f>
        <v>C19:D21</v>
      </c>
      <c r="C19" s="567" t="s">
        <v>508</v>
      </c>
      <c r="D19" s="567"/>
      <c r="E19" s="567"/>
      <c r="F19" s="567"/>
      <c r="G19" s="567"/>
      <c r="H19" s="567"/>
      <c r="I19" s="567"/>
    </row>
    <row r="20" spans="1:9" s="139" customFormat="1" ht="9.75" customHeight="1" x14ac:dyDescent="0.25">
      <c r="C20" s="161"/>
      <c r="D20" s="156"/>
      <c r="E20" s="393"/>
      <c r="F20" s="393"/>
      <c r="G20" s="393"/>
      <c r="H20" s="393"/>
      <c r="I20" s="393"/>
    </row>
    <row r="21" spans="1:9" s="139" customFormat="1" ht="60" customHeight="1" x14ac:dyDescent="0.25">
      <c r="C21" s="162" t="s">
        <v>509</v>
      </c>
      <c r="D21" s="580" t="s">
        <v>510</v>
      </c>
      <c r="E21" s="580"/>
      <c r="F21" s="580"/>
      <c r="G21" s="580"/>
      <c r="H21" s="580"/>
      <c r="I21" s="580"/>
    </row>
    <row r="22" spans="1:9" s="139" customFormat="1" ht="6" customHeight="1" thickBot="1" x14ac:dyDescent="0.3">
      <c r="C22" s="163"/>
      <c r="D22" s="157"/>
      <c r="E22" s="392"/>
      <c r="F22" s="392"/>
      <c r="G22" s="392"/>
      <c r="H22" s="392"/>
      <c r="I22" s="392"/>
    </row>
    <row r="23" spans="1:9" s="138" customFormat="1" ht="14.25" customHeight="1" thickBot="1" x14ac:dyDescent="0.3">
      <c r="C23" s="608" t="s">
        <v>511</v>
      </c>
      <c r="D23" s="609"/>
      <c r="E23" s="609"/>
      <c r="F23" s="609"/>
      <c r="G23" s="609"/>
      <c r="H23" s="609"/>
      <c r="I23" s="610"/>
    </row>
    <row r="24" spans="1:9" s="138" customFormat="1" ht="14.25" customHeight="1" x14ac:dyDescent="0.25">
      <c r="B24" s="138" t="str">
        <f>ADDRESS(ROW(C24),COLUMN(C24),4)&amp;":"&amp;ADDRESS(ROW(D27),COLUMN(D27),4)</f>
        <v>C24:D27</v>
      </c>
      <c r="C24" s="611" t="s">
        <v>512</v>
      </c>
      <c r="D24" s="611"/>
      <c r="E24" s="611"/>
      <c r="F24" s="611"/>
      <c r="G24" s="611"/>
      <c r="H24" s="611"/>
      <c r="I24" s="611"/>
    </row>
    <row r="25" spans="1:9" s="138" customFormat="1" x14ac:dyDescent="0.25">
      <c r="C25" s="563" t="s">
        <v>513</v>
      </c>
      <c r="D25" s="563"/>
      <c r="E25" s="563"/>
      <c r="F25" s="563"/>
      <c r="G25" s="563"/>
      <c r="H25" s="563"/>
      <c r="I25" s="563"/>
    </row>
    <row r="26" spans="1:9" s="138" customFormat="1" ht="6" customHeight="1" x14ac:dyDescent="0.25">
      <c r="C26" s="587"/>
      <c r="D26" s="587"/>
      <c r="E26" s="587"/>
      <c r="F26" s="587"/>
      <c r="G26" s="587"/>
      <c r="H26" s="587"/>
      <c r="I26" s="587"/>
    </row>
    <row r="27" spans="1:9" x14ac:dyDescent="0.3">
      <c r="C27" s="587" t="s">
        <v>514</v>
      </c>
      <c r="D27" s="587"/>
      <c r="E27" s="587"/>
      <c r="F27" s="587"/>
      <c r="G27" s="587"/>
      <c r="H27" s="587"/>
      <c r="I27" s="587"/>
    </row>
    <row r="28" spans="1:9" ht="12" customHeight="1" x14ac:dyDescent="0.3">
      <c r="C28" s="605" t="s">
        <v>515</v>
      </c>
      <c r="D28" s="605"/>
      <c r="E28" s="605"/>
      <c r="F28" s="605"/>
      <c r="G28" s="605"/>
      <c r="H28" s="605"/>
      <c r="I28" s="605"/>
    </row>
    <row r="29" spans="1:9" ht="12" customHeight="1" x14ac:dyDescent="0.3">
      <c r="C29" s="563" t="s">
        <v>516</v>
      </c>
      <c r="D29" s="563"/>
      <c r="E29" s="563"/>
      <c r="F29" s="563"/>
      <c r="G29" s="563"/>
      <c r="H29" s="563"/>
      <c r="I29" s="563"/>
    </row>
    <row r="30" spans="1:9" ht="24" customHeight="1" x14ac:dyDescent="0.3">
      <c r="C30" s="565" t="s">
        <v>517</v>
      </c>
      <c r="D30" s="565"/>
      <c r="E30" s="565"/>
      <c r="F30" s="565"/>
      <c r="G30" s="565"/>
      <c r="H30" s="565"/>
      <c r="I30" s="565"/>
    </row>
    <row r="31" spans="1:9" ht="9" customHeight="1" x14ac:dyDescent="0.3">
      <c r="C31" s="565"/>
      <c r="D31" s="565"/>
      <c r="E31" s="565"/>
      <c r="F31" s="565"/>
      <c r="G31" s="565"/>
      <c r="H31" s="565"/>
      <c r="I31" s="565"/>
    </row>
    <row r="32" spans="1:9" s="138" customFormat="1" ht="11.25" customHeight="1" x14ac:dyDescent="0.25">
      <c r="C32" s="587" t="s">
        <v>518</v>
      </c>
      <c r="D32" s="587"/>
      <c r="E32" s="587"/>
      <c r="F32" s="587"/>
      <c r="G32" s="587"/>
      <c r="H32" s="587"/>
      <c r="I32" s="587"/>
    </row>
    <row r="33" spans="3:9" s="138" customFormat="1" ht="27" customHeight="1" x14ac:dyDescent="0.25">
      <c r="C33" s="563" t="s">
        <v>519</v>
      </c>
      <c r="D33" s="563"/>
      <c r="E33" s="563"/>
      <c r="F33" s="563"/>
      <c r="G33" s="563"/>
      <c r="H33" s="563"/>
      <c r="I33" s="563"/>
    </row>
    <row r="34" spans="3:9" ht="4.5" customHeight="1" x14ac:dyDescent="0.3">
      <c r="C34" s="565"/>
      <c r="D34" s="565"/>
      <c r="E34" s="565"/>
      <c r="F34" s="565"/>
      <c r="G34" s="565"/>
      <c r="H34" s="565"/>
      <c r="I34" s="565"/>
    </row>
    <row r="35" spans="3:9" ht="12" customHeight="1" x14ac:dyDescent="0.3">
      <c r="C35" s="565" t="s">
        <v>520</v>
      </c>
      <c r="D35" s="565"/>
      <c r="E35" s="565"/>
      <c r="F35" s="565"/>
      <c r="G35" s="565"/>
      <c r="H35" s="565"/>
      <c r="I35" s="565"/>
    </row>
    <row r="36" spans="3:9" ht="36" customHeight="1" x14ac:dyDescent="0.3">
      <c r="C36" s="563" t="s">
        <v>521</v>
      </c>
      <c r="D36" s="563"/>
      <c r="E36" s="563"/>
      <c r="F36" s="563"/>
      <c r="G36" s="563"/>
      <c r="H36" s="563"/>
      <c r="I36" s="563"/>
    </row>
    <row r="37" spans="3:9" ht="9" customHeight="1" x14ac:dyDescent="0.3">
      <c r="C37" s="563"/>
      <c r="D37" s="563"/>
      <c r="E37" s="563"/>
      <c r="F37" s="563"/>
      <c r="G37" s="563"/>
      <c r="H37" s="563"/>
      <c r="I37" s="563"/>
    </row>
    <row r="38" spans="3:9" x14ac:dyDescent="0.3">
      <c r="C38" s="587" t="s">
        <v>522</v>
      </c>
      <c r="D38" s="587"/>
      <c r="E38" s="587"/>
      <c r="F38" s="587"/>
      <c r="G38" s="587"/>
      <c r="H38" s="587"/>
      <c r="I38" s="587"/>
    </row>
    <row r="39" spans="3:9" ht="26.25" customHeight="1" x14ac:dyDescent="0.3">
      <c r="C39" s="605" t="s">
        <v>523</v>
      </c>
      <c r="D39" s="605"/>
      <c r="E39" s="605"/>
      <c r="F39" s="605"/>
      <c r="G39" s="605"/>
      <c r="H39" s="605"/>
      <c r="I39" s="605"/>
    </row>
    <row r="40" spans="3:9" ht="14.25" customHeight="1" x14ac:dyDescent="0.3">
      <c r="C40" s="607" t="s">
        <v>524</v>
      </c>
      <c r="D40" s="607"/>
      <c r="E40" s="607"/>
      <c r="F40" s="607"/>
      <c r="G40" s="607"/>
      <c r="H40" s="607"/>
      <c r="I40" s="607"/>
    </row>
    <row r="41" spans="3:9" ht="28.5" customHeight="1" x14ac:dyDescent="0.3">
      <c r="C41" s="605" t="s">
        <v>525</v>
      </c>
      <c r="D41" s="605"/>
      <c r="E41" s="605"/>
      <c r="F41" s="605"/>
      <c r="G41" s="605"/>
      <c r="H41" s="605"/>
      <c r="I41" s="605"/>
    </row>
    <row r="42" spans="3:9" ht="12" customHeight="1" x14ac:dyDescent="0.3">
      <c r="C42" s="563" t="s">
        <v>526</v>
      </c>
      <c r="D42" s="563"/>
      <c r="E42" s="563"/>
      <c r="F42" s="563"/>
      <c r="G42" s="563"/>
      <c r="H42" s="563"/>
      <c r="I42" s="563"/>
    </row>
    <row r="43" spans="3:9" ht="12" customHeight="1" x14ac:dyDescent="0.3">
      <c r="C43" s="605" t="s">
        <v>527</v>
      </c>
      <c r="D43" s="605"/>
      <c r="E43" s="605"/>
      <c r="F43" s="605"/>
      <c r="G43" s="605"/>
      <c r="H43" s="605"/>
      <c r="I43" s="605"/>
    </row>
    <row r="44" spans="3:9" ht="12" customHeight="1" thickBot="1" x14ac:dyDescent="0.35">
      <c r="C44" s="168"/>
      <c r="D44" s="165"/>
      <c r="E44" s="394"/>
      <c r="F44" s="394"/>
      <c r="G44" s="394"/>
      <c r="H44" s="394"/>
      <c r="I44" s="394"/>
    </row>
    <row r="45" spans="3:9" ht="12" customHeight="1" thickBot="1" x14ac:dyDescent="0.35">
      <c r="C45" s="572" t="s">
        <v>528</v>
      </c>
      <c r="D45" s="573"/>
      <c r="E45" s="573"/>
      <c r="F45" s="573"/>
      <c r="G45" s="573"/>
      <c r="H45" s="573"/>
      <c r="I45" s="574"/>
    </row>
    <row r="46" spans="3:9" ht="6" customHeight="1" x14ac:dyDescent="0.3">
      <c r="C46" s="589"/>
      <c r="D46" s="589"/>
      <c r="E46" s="589"/>
      <c r="F46" s="589"/>
      <c r="G46" s="589"/>
      <c r="H46" s="589"/>
      <c r="I46" s="589"/>
    </row>
    <row r="47" spans="3:9" ht="26.25" customHeight="1" x14ac:dyDescent="0.3">
      <c r="C47" s="169" t="s">
        <v>529</v>
      </c>
      <c r="D47" s="563" t="s">
        <v>530</v>
      </c>
      <c r="E47" s="563"/>
      <c r="F47" s="563"/>
      <c r="G47" s="563"/>
      <c r="H47" s="563"/>
      <c r="I47" s="563"/>
    </row>
    <row r="48" spans="3:9" s="138" customFormat="1" ht="12" customHeight="1" x14ac:dyDescent="0.25">
      <c r="C48" s="170" t="s">
        <v>531</v>
      </c>
      <c r="D48" s="171" t="s">
        <v>532</v>
      </c>
      <c r="E48" s="153"/>
      <c r="F48" s="153"/>
      <c r="G48" s="153"/>
      <c r="H48" s="153"/>
      <c r="I48" s="153"/>
    </row>
    <row r="49" spans="3:9" s="138" customFormat="1" x14ac:dyDescent="0.25">
      <c r="C49" s="172"/>
      <c r="D49" s="563" t="s">
        <v>533</v>
      </c>
      <c r="E49" s="563"/>
      <c r="F49" s="563"/>
      <c r="G49" s="563"/>
      <c r="H49" s="563"/>
      <c r="I49" s="563"/>
    </row>
    <row r="50" spans="3:9" s="138" customFormat="1" ht="12" customHeight="1" x14ac:dyDescent="0.25">
      <c r="C50" s="172"/>
      <c r="D50" s="606" t="s">
        <v>534</v>
      </c>
      <c r="E50" s="606"/>
      <c r="F50" s="606"/>
      <c r="G50" s="606"/>
      <c r="H50" s="365"/>
      <c r="I50" s="365"/>
    </row>
    <row r="51" spans="3:9" s="138" customFormat="1" ht="12" customHeight="1" x14ac:dyDescent="0.25">
      <c r="C51" s="172"/>
      <c r="D51" s="594" t="s">
        <v>535</v>
      </c>
      <c r="E51" s="594"/>
      <c r="F51" s="594"/>
      <c r="G51" s="396"/>
      <c r="H51" s="366"/>
      <c r="I51" s="366"/>
    </row>
    <row r="52" spans="3:9" s="138" customFormat="1" x14ac:dyDescent="0.25">
      <c r="C52" s="172" t="s">
        <v>536</v>
      </c>
      <c r="D52" s="173" t="s">
        <v>107</v>
      </c>
      <c r="E52" s="397"/>
      <c r="F52" s="397"/>
      <c r="G52" s="397"/>
      <c r="H52" s="367"/>
      <c r="I52" s="367"/>
    </row>
    <row r="53" spans="3:9" s="138" customFormat="1" x14ac:dyDescent="0.25">
      <c r="C53" s="172"/>
      <c r="D53" s="174" t="s">
        <v>537</v>
      </c>
      <c r="E53" s="397"/>
      <c r="F53" s="397"/>
      <c r="G53" s="397"/>
      <c r="H53" s="367"/>
      <c r="I53" s="368"/>
    </row>
    <row r="54" spans="3:9" s="138" customFormat="1" x14ac:dyDescent="0.25">
      <c r="C54" s="172" t="s">
        <v>538</v>
      </c>
      <c r="D54" s="175" t="s">
        <v>539</v>
      </c>
      <c r="E54" s="397"/>
      <c r="F54" s="397"/>
      <c r="G54" s="397"/>
      <c r="H54" s="367"/>
      <c r="I54" s="367"/>
    </row>
    <row r="55" spans="3:9" s="138" customFormat="1" x14ac:dyDescent="0.25">
      <c r="C55" s="172"/>
      <c r="D55" s="174" t="s">
        <v>537</v>
      </c>
      <c r="E55" s="395"/>
      <c r="F55" s="395"/>
      <c r="G55" s="395"/>
      <c r="H55" s="395"/>
      <c r="I55" s="397"/>
    </row>
    <row r="56" spans="3:9" s="138" customFormat="1" x14ac:dyDescent="0.25">
      <c r="C56" s="172" t="s">
        <v>540</v>
      </c>
      <c r="D56" s="175" t="s">
        <v>111</v>
      </c>
      <c r="E56" s="395"/>
      <c r="F56" s="395"/>
      <c r="G56" s="395"/>
      <c r="H56" s="395"/>
      <c r="I56" s="397"/>
    </row>
    <row r="57" spans="3:9" s="138" customFormat="1" x14ac:dyDescent="0.25">
      <c r="C57" s="172"/>
      <c r="D57" s="174" t="s">
        <v>537</v>
      </c>
      <c r="E57" s="395"/>
      <c r="F57" s="395"/>
      <c r="G57" s="395"/>
      <c r="H57" s="395"/>
      <c r="I57" s="395"/>
    </row>
    <row r="58" spans="3:9" s="138" customFormat="1" x14ac:dyDescent="0.25">
      <c r="C58" s="172" t="s">
        <v>541</v>
      </c>
      <c r="D58" s="175" t="s">
        <v>113</v>
      </c>
      <c r="E58" s="397"/>
      <c r="F58" s="397"/>
      <c r="G58" s="397"/>
      <c r="H58" s="397"/>
      <c r="I58" s="395"/>
    </row>
    <row r="59" spans="3:9" s="138" customFormat="1" x14ac:dyDescent="0.25">
      <c r="C59" s="172"/>
      <c r="D59" s="174" t="s">
        <v>537</v>
      </c>
      <c r="E59" s="395"/>
      <c r="F59" s="395"/>
      <c r="G59" s="395"/>
      <c r="H59" s="395"/>
      <c r="I59" s="395"/>
    </row>
    <row r="60" spans="3:9" s="138" customFormat="1" x14ac:dyDescent="0.25">
      <c r="C60" s="172" t="s">
        <v>542</v>
      </c>
      <c r="D60" s="175" t="s">
        <v>115</v>
      </c>
      <c r="E60" s="397"/>
      <c r="F60" s="397"/>
      <c r="G60" s="397"/>
      <c r="H60" s="397"/>
      <c r="I60" s="397"/>
    </row>
    <row r="61" spans="3:9" s="138" customFormat="1" x14ac:dyDescent="0.25">
      <c r="C61" s="172"/>
      <c r="D61" s="174" t="s">
        <v>537</v>
      </c>
      <c r="E61" s="397"/>
      <c r="F61" s="397"/>
      <c r="G61" s="397"/>
      <c r="H61" s="397"/>
      <c r="I61" s="395"/>
    </row>
    <row r="62" spans="3:9" s="138" customFormat="1" x14ac:dyDescent="0.25">
      <c r="C62" s="172" t="s">
        <v>543</v>
      </c>
      <c r="D62" s="175" t="s">
        <v>117</v>
      </c>
      <c r="E62" s="397"/>
      <c r="F62" s="397"/>
      <c r="G62" s="397"/>
      <c r="H62" s="397"/>
      <c r="I62" s="397"/>
    </row>
    <row r="63" spans="3:9" s="138" customFormat="1" x14ac:dyDescent="0.25">
      <c r="C63" s="172"/>
      <c r="D63" s="174" t="s">
        <v>537</v>
      </c>
      <c r="E63" s="397"/>
      <c r="F63" s="397"/>
      <c r="G63" s="397"/>
      <c r="H63" s="397"/>
      <c r="I63" s="397"/>
    </row>
    <row r="64" spans="3:9" s="138" customFormat="1" x14ac:dyDescent="0.25">
      <c r="C64" s="172" t="s">
        <v>544</v>
      </c>
      <c r="D64" s="175" t="s">
        <v>119</v>
      </c>
      <c r="E64" s="395"/>
      <c r="F64" s="395"/>
      <c r="G64" s="395"/>
      <c r="H64" s="395"/>
      <c r="I64" s="397"/>
    </row>
    <row r="65" spans="3:9" s="138" customFormat="1" x14ac:dyDescent="0.25">
      <c r="C65" s="172"/>
      <c r="D65" s="175" t="s">
        <v>545</v>
      </c>
      <c r="E65" s="397"/>
      <c r="F65" s="397"/>
      <c r="G65" s="397"/>
      <c r="H65" s="397"/>
      <c r="I65" s="397"/>
    </row>
    <row r="66" spans="3:9" s="138" customFormat="1" x14ac:dyDescent="0.25">
      <c r="C66" s="172"/>
      <c r="D66" s="174" t="s">
        <v>537</v>
      </c>
      <c r="E66" s="397"/>
      <c r="F66" s="397"/>
      <c r="G66" s="397"/>
      <c r="H66" s="397"/>
      <c r="I66" s="397"/>
    </row>
    <row r="67" spans="3:9" s="138" customFormat="1" x14ac:dyDescent="0.25">
      <c r="C67" s="172" t="s">
        <v>546</v>
      </c>
      <c r="D67" s="175" t="s">
        <v>121</v>
      </c>
      <c r="E67" s="395"/>
      <c r="F67" s="395"/>
      <c r="G67" s="395"/>
      <c r="H67" s="395"/>
      <c r="I67" s="397"/>
    </row>
    <row r="68" spans="3:9" s="138" customFormat="1" x14ac:dyDescent="0.25">
      <c r="C68" s="172"/>
      <c r="D68" s="174" t="s">
        <v>537</v>
      </c>
      <c r="E68" s="397"/>
      <c r="F68" s="397"/>
      <c r="G68" s="397"/>
      <c r="H68" s="397"/>
      <c r="I68" s="397"/>
    </row>
    <row r="69" spans="3:9" s="138" customFormat="1" x14ac:dyDescent="0.25">
      <c r="C69" s="172" t="s">
        <v>547</v>
      </c>
      <c r="D69" s="175" t="s">
        <v>123</v>
      </c>
      <c r="E69" s="397"/>
      <c r="F69" s="397"/>
      <c r="G69" s="397"/>
      <c r="H69" s="397"/>
      <c r="I69" s="395"/>
    </row>
    <row r="70" spans="3:9" s="138" customFormat="1" x14ac:dyDescent="0.25">
      <c r="C70" s="172"/>
      <c r="D70" s="175" t="s">
        <v>548</v>
      </c>
      <c r="E70" s="397"/>
      <c r="F70" s="397"/>
      <c r="G70" s="397"/>
      <c r="H70" s="397"/>
      <c r="I70" s="397"/>
    </row>
    <row r="71" spans="3:9" s="138" customFormat="1" x14ac:dyDescent="0.25">
      <c r="C71" s="176"/>
      <c r="D71" s="174" t="s">
        <v>537</v>
      </c>
      <c r="E71" s="397"/>
      <c r="F71" s="397"/>
      <c r="G71" s="397"/>
      <c r="H71" s="397"/>
      <c r="I71" s="397"/>
    </row>
    <row r="72" spans="3:9" s="138" customFormat="1" x14ac:dyDescent="0.25">
      <c r="C72" s="177">
        <v>1.1000000000000001</v>
      </c>
      <c r="D72" s="565" t="s">
        <v>549</v>
      </c>
      <c r="E72" s="565"/>
      <c r="F72" s="565"/>
      <c r="G72" s="565"/>
      <c r="H72" s="565"/>
      <c r="I72" s="565"/>
    </row>
    <row r="73" spans="3:9" s="138" customFormat="1" ht="23.25" customHeight="1" x14ac:dyDescent="0.25">
      <c r="C73" s="177"/>
      <c r="D73" s="604" t="s">
        <v>550</v>
      </c>
      <c r="E73" s="565"/>
      <c r="F73" s="565"/>
      <c r="G73" s="565"/>
      <c r="H73" s="565"/>
      <c r="I73" s="397"/>
    </row>
    <row r="74" spans="3:9" s="138" customFormat="1" ht="13.5" customHeight="1" x14ac:dyDescent="0.25">
      <c r="C74" s="177" t="s">
        <v>127</v>
      </c>
      <c r="D74" s="566" t="s">
        <v>551</v>
      </c>
      <c r="E74" s="566"/>
      <c r="F74" s="566"/>
      <c r="G74" s="566"/>
      <c r="H74" s="566"/>
      <c r="I74" s="566"/>
    </row>
    <row r="75" spans="3:9" s="138" customFormat="1" ht="13.5" customHeight="1" x14ac:dyDescent="0.25">
      <c r="C75" s="177"/>
      <c r="D75" s="598" t="s">
        <v>552</v>
      </c>
      <c r="E75" s="598"/>
      <c r="F75" s="598"/>
      <c r="G75" s="598"/>
      <c r="H75" s="598"/>
      <c r="I75" s="598"/>
    </row>
    <row r="76" spans="3:9" s="138" customFormat="1" ht="13.5" customHeight="1" x14ac:dyDescent="0.25">
      <c r="C76" s="177" t="s">
        <v>130</v>
      </c>
      <c r="D76" s="566" t="s">
        <v>553</v>
      </c>
      <c r="E76" s="566"/>
      <c r="F76" s="566"/>
      <c r="G76" s="566"/>
      <c r="H76" s="566"/>
      <c r="I76" s="566"/>
    </row>
    <row r="77" spans="3:9" s="138" customFormat="1" ht="24.75" customHeight="1" x14ac:dyDescent="0.25">
      <c r="C77" s="177"/>
      <c r="D77" s="598" t="s">
        <v>554</v>
      </c>
      <c r="E77" s="598"/>
      <c r="F77" s="598"/>
      <c r="G77" s="598"/>
      <c r="H77" s="598"/>
      <c r="I77" s="598"/>
    </row>
    <row r="78" spans="3:9" s="138" customFormat="1" ht="13.5" customHeight="1" x14ac:dyDescent="0.25">
      <c r="C78" s="177" t="s">
        <v>555</v>
      </c>
      <c r="D78" s="566" t="s">
        <v>134</v>
      </c>
      <c r="E78" s="566"/>
      <c r="F78" s="566"/>
      <c r="G78" s="566"/>
      <c r="H78" s="566"/>
      <c r="I78" s="566"/>
    </row>
    <row r="79" spans="3:9" s="138" customFormat="1" ht="13.5" customHeight="1" x14ac:dyDescent="0.25">
      <c r="C79" s="177"/>
      <c r="D79" s="598" t="s">
        <v>556</v>
      </c>
      <c r="E79" s="598"/>
      <c r="F79" s="598"/>
      <c r="G79" s="598"/>
      <c r="H79" s="598"/>
      <c r="I79" s="598"/>
    </row>
    <row r="80" spans="3:9" s="138" customFormat="1" ht="13.5" customHeight="1" x14ac:dyDescent="0.25">
      <c r="C80" s="177" t="s">
        <v>136</v>
      </c>
      <c r="D80" s="566" t="s">
        <v>557</v>
      </c>
      <c r="E80" s="566"/>
      <c r="F80" s="566"/>
      <c r="G80" s="566"/>
      <c r="H80" s="566"/>
      <c r="I80" s="566"/>
    </row>
    <row r="81" spans="3:9" s="138" customFormat="1" ht="13.5" customHeight="1" thickBot="1" x14ac:dyDescent="0.3">
      <c r="C81" s="177"/>
      <c r="D81" s="598" t="s">
        <v>558</v>
      </c>
      <c r="E81" s="598"/>
      <c r="F81" s="598"/>
      <c r="G81" s="598"/>
      <c r="H81" s="598"/>
      <c r="I81" s="598"/>
    </row>
    <row r="82" spans="3:9" ht="12" customHeight="1" thickBot="1" x14ac:dyDescent="0.35">
      <c r="C82" s="572" t="s">
        <v>559</v>
      </c>
      <c r="D82" s="573"/>
      <c r="E82" s="573"/>
      <c r="F82" s="573"/>
      <c r="G82" s="573"/>
      <c r="H82" s="573"/>
      <c r="I82" s="574"/>
    </row>
    <row r="83" spans="3:9" s="138" customFormat="1" ht="13.5" customHeight="1" x14ac:dyDescent="0.25">
      <c r="C83" s="177" t="s">
        <v>139</v>
      </c>
      <c r="D83" s="566" t="s">
        <v>140</v>
      </c>
      <c r="E83" s="566"/>
      <c r="F83" s="566"/>
      <c r="G83" s="566"/>
      <c r="H83" s="566"/>
      <c r="I83" s="566"/>
    </row>
    <row r="84" spans="3:9" s="138" customFormat="1" ht="24" customHeight="1" x14ac:dyDescent="0.25">
      <c r="C84" s="177"/>
      <c r="D84" s="598" t="s">
        <v>560</v>
      </c>
      <c r="E84" s="598"/>
      <c r="F84" s="598"/>
      <c r="G84" s="598"/>
      <c r="H84" s="598"/>
      <c r="I84" s="598"/>
    </row>
    <row r="85" spans="3:9" s="138" customFormat="1" ht="13.5" customHeight="1" x14ac:dyDescent="0.25">
      <c r="C85" s="177" t="s">
        <v>561</v>
      </c>
      <c r="D85" s="566" t="s">
        <v>562</v>
      </c>
      <c r="E85" s="566"/>
      <c r="F85" s="566"/>
      <c r="G85" s="566"/>
      <c r="H85" s="566"/>
      <c r="I85" s="566"/>
    </row>
    <row r="86" spans="3:9" s="138" customFormat="1" ht="26.25" customHeight="1" x14ac:dyDescent="0.25">
      <c r="C86" s="177"/>
      <c r="D86" s="598" t="s">
        <v>563</v>
      </c>
      <c r="E86" s="598"/>
      <c r="F86" s="598"/>
      <c r="G86" s="598"/>
      <c r="H86" s="598"/>
      <c r="I86" s="598"/>
    </row>
    <row r="87" spans="3:9" s="138" customFormat="1" x14ac:dyDescent="0.25">
      <c r="C87" s="177" t="s">
        <v>145</v>
      </c>
      <c r="D87" s="565" t="s">
        <v>564</v>
      </c>
      <c r="E87" s="565"/>
      <c r="F87" s="565"/>
      <c r="G87" s="565"/>
      <c r="H87" s="565"/>
      <c r="I87" s="565"/>
    </row>
    <row r="88" spans="3:9" s="138" customFormat="1" ht="24.75" customHeight="1" x14ac:dyDescent="0.25">
      <c r="C88" s="177"/>
      <c r="D88" s="604" t="s">
        <v>565</v>
      </c>
      <c r="E88" s="604"/>
      <c r="F88" s="604"/>
      <c r="G88" s="604"/>
      <c r="H88" s="604"/>
      <c r="I88" s="604"/>
    </row>
    <row r="89" spans="3:9" s="138" customFormat="1" x14ac:dyDescent="0.25">
      <c r="C89" s="170">
        <v>1.1100000000000001</v>
      </c>
      <c r="D89" s="565" t="s">
        <v>566</v>
      </c>
      <c r="E89" s="565"/>
      <c r="F89" s="565"/>
      <c r="G89" s="565"/>
      <c r="H89" s="565"/>
      <c r="I89" s="565"/>
    </row>
    <row r="90" spans="3:9" s="138" customFormat="1" ht="13.5" customHeight="1" thickBot="1" x14ac:dyDescent="0.3">
      <c r="C90" s="176"/>
      <c r="D90" s="563" t="s">
        <v>567</v>
      </c>
      <c r="E90" s="563"/>
      <c r="F90" s="563"/>
      <c r="G90" s="563"/>
      <c r="H90" s="563"/>
      <c r="I90" s="563"/>
    </row>
    <row r="91" spans="3:9" s="138" customFormat="1" ht="13.5" customHeight="1" thickBot="1" x14ac:dyDescent="0.3">
      <c r="C91" s="572" t="s">
        <v>568</v>
      </c>
      <c r="D91" s="573"/>
      <c r="E91" s="573"/>
      <c r="F91" s="573"/>
      <c r="G91" s="573"/>
      <c r="H91" s="573"/>
      <c r="I91" s="574"/>
    </row>
    <row r="92" spans="3:9" s="138" customFormat="1" ht="12" customHeight="1" x14ac:dyDescent="0.25">
      <c r="C92" s="172"/>
      <c r="D92" s="595" t="s">
        <v>569</v>
      </c>
      <c r="E92" s="595"/>
      <c r="F92" s="595"/>
      <c r="G92" s="595"/>
      <c r="H92" s="595"/>
      <c r="I92" s="595"/>
    </row>
    <row r="93" spans="3:9" s="138" customFormat="1" x14ac:dyDescent="0.25">
      <c r="C93" s="172"/>
      <c r="D93" s="603" t="s">
        <v>570</v>
      </c>
      <c r="E93" s="603"/>
      <c r="F93" s="603"/>
      <c r="G93" s="603"/>
      <c r="H93" s="603"/>
      <c r="I93" s="603"/>
    </row>
    <row r="94" spans="3:9" s="138" customFormat="1" ht="24" customHeight="1" x14ac:dyDescent="0.25">
      <c r="C94" s="178" t="s">
        <v>509</v>
      </c>
      <c r="D94" s="565" t="s">
        <v>571</v>
      </c>
      <c r="E94" s="565"/>
      <c r="F94" s="565"/>
      <c r="G94" s="565"/>
      <c r="H94" s="565"/>
      <c r="I94" s="565"/>
    </row>
    <row r="95" spans="3:9" s="138" customFormat="1" x14ac:dyDescent="0.25">
      <c r="C95" s="170">
        <v>1.1000000000000001</v>
      </c>
      <c r="D95" s="565" t="s">
        <v>572</v>
      </c>
      <c r="E95" s="565"/>
      <c r="F95" s="565"/>
      <c r="G95" s="565"/>
      <c r="H95" s="565"/>
      <c r="I95" s="565"/>
    </row>
    <row r="96" spans="3:9" s="138" customFormat="1" x14ac:dyDescent="0.25">
      <c r="C96" s="170"/>
      <c r="D96" s="563" t="s">
        <v>573</v>
      </c>
      <c r="E96" s="563"/>
      <c r="F96" s="563"/>
      <c r="G96" s="563"/>
      <c r="H96" s="563"/>
      <c r="I96" s="563"/>
    </row>
    <row r="97" spans="3:9" s="138" customFormat="1" x14ac:dyDescent="0.25">
      <c r="C97" s="170">
        <v>2.2000000000000002</v>
      </c>
      <c r="D97" s="565" t="s">
        <v>574</v>
      </c>
      <c r="E97" s="565"/>
      <c r="F97" s="565"/>
      <c r="G97" s="565"/>
      <c r="H97" s="565"/>
      <c r="I97" s="565"/>
    </row>
    <row r="98" spans="3:9" s="138" customFormat="1" ht="12" customHeight="1" x14ac:dyDescent="0.25">
      <c r="C98" s="170"/>
      <c r="D98" s="563" t="s">
        <v>575</v>
      </c>
      <c r="E98" s="563"/>
      <c r="F98" s="563"/>
      <c r="G98" s="563"/>
      <c r="H98" s="563"/>
      <c r="I98" s="563"/>
    </row>
    <row r="99" spans="3:9" s="138" customFormat="1" x14ac:dyDescent="0.25">
      <c r="C99" s="170" t="s">
        <v>576</v>
      </c>
      <c r="D99" s="565" t="s">
        <v>577</v>
      </c>
      <c r="E99" s="565"/>
      <c r="F99" s="565"/>
      <c r="G99" s="565"/>
      <c r="H99" s="565"/>
      <c r="I99" s="565"/>
    </row>
    <row r="100" spans="3:9" s="138" customFormat="1" x14ac:dyDescent="0.25">
      <c r="C100" s="170"/>
      <c r="D100" s="584" t="s">
        <v>578</v>
      </c>
      <c r="E100" s="584"/>
      <c r="F100" s="584"/>
      <c r="G100" s="584"/>
      <c r="H100" s="584"/>
      <c r="I100" s="584"/>
    </row>
    <row r="101" spans="3:9" s="138" customFormat="1" x14ac:dyDescent="0.25">
      <c r="C101" s="170" t="s">
        <v>579</v>
      </c>
      <c r="D101" s="587" t="s">
        <v>580</v>
      </c>
      <c r="E101" s="587"/>
      <c r="F101" s="587"/>
      <c r="G101" s="587"/>
      <c r="H101" s="587"/>
      <c r="I101" s="587"/>
    </row>
    <row r="102" spans="3:9" s="138" customFormat="1" ht="12" customHeight="1" x14ac:dyDescent="0.25">
      <c r="C102" s="170"/>
      <c r="D102" s="563" t="s">
        <v>581</v>
      </c>
      <c r="E102" s="563"/>
      <c r="F102" s="563"/>
      <c r="G102" s="563"/>
      <c r="H102" s="563"/>
      <c r="I102" s="563"/>
    </row>
    <row r="103" spans="3:9" s="138" customFormat="1" x14ac:dyDescent="0.25">
      <c r="C103" s="170">
        <v>2.4</v>
      </c>
      <c r="D103" s="587" t="s">
        <v>182</v>
      </c>
      <c r="E103" s="587"/>
      <c r="F103" s="587"/>
      <c r="G103" s="587"/>
      <c r="H103" s="587"/>
      <c r="I103" s="587"/>
    </row>
    <row r="104" spans="3:9" s="138" customFormat="1" x14ac:dyDescent="0.25">
      <c r="C104" s="170"/>
      <c r="D104" s="584" t="s">
        <v>582</v>
      </c>
      <c r="E104" s="584"/>
      <c r="F104" s="584"/>
      <c r="G104" s="584"/>
      <c r="H104" s="584"/>
      <c r="I104" s="584"/>
    </row>
    <row r="105" spans="3:9" s="138" customFormat="1" x14ac:dyDescent="0.25">
      <c r="C105" s="179">
        <v>2.5</v>
      </c>
      <c r="D105" s="587" t="s">
        <v>186</v>
      </c>
      <c r="E105" s="587"/>
      <c r="F105" s="587"/>
      <c r="G105" s="587"/>
      <c r="H105" s="587"/>
      <c r="I105" s="587"/>
    </row>
    <row r="106" spans="3:9" s="138" customFormat="1" x14ac:dyDescent="0.25">
      <c r="C106" s="179"/>
      <c r="D106" s="587" t="s">
        <v>583</v>
      </c>
      <c r="E106" s="587"/>
      <c r="F106" s="587"/>
      <c r="G106" s="587"/>
      <c r="H106" s="587"/>
      <c r="I106" s="587"/>
    </row>
    <row r="107" spans="3:9" s="138" customFormat="1" x14ac:dyDescent="0.25">
      <c r="C107" s="179">
        <v>2.6</v>
      </c>
      <c r="D107" s="587" t="s">
        <v>190</v>
      </c>
      <c r="E107" s="587"/>
      <c r="F107" s="587"/>
      <c r="G107" s="587"/>
      <c r="H107" s="587"/>
      <c r="I107" s="587"/>
    </row>
    <row r="108" spans="3:9" s="138" customFormat="1" x14ac:dyDescent="0.25">
      <c r="C108" s="179"/>
      <c r="D108" s="584" t="s">
        <v>584</v>
      </c>
      <c r="E108" s="584"/>
      <c r="F108" s="584"/>
      <c r="G108" s="584"/>
      <c r="H108" s="584"/>
      <c r="I108" s="584"/>
    </row>
    <row r="109" spans="3:9" s="138" customFormat="1" x14ac:dyDescent="0.25">
      <c r="C109" s="179">
        <v>2.8</v>
      </c>
      <c r="D109" s="599" t="s">
        <v>198</v>
      </c>
      <c r="E109" s="599"/>
      <c r="F109" s="599"/>
      <c r="G109" s="599"/>
      <c r="H109" s="599"/>
      <c r="I109" s="599"/>
    </row>
    <row r="110" spans="3:9" s="138" customFormat="1" ht="12.75" customHeight="1" x14ac:dyDescent="0.25">
      <c r="C110" s="180"/>
      <c r="D110" s="598" t="s">
        <v>585</v>
      </c>
      <c r="E110" s="563"/>
      <c r="F110" s="563"/>
      <c r="G110" s="563"/>
      <c r="H110" s="563"/>
      <c r="I110" s="563"/>
    </row>
    <row r="111" spans="3:9" s="138" customFormat="1" x14ac:dyDescent="0.25">
      <c r="C111" s="179">
        <v>2.9</v>
      </c>
      <c r="D111" s="587" t="s">
        <v>202</v>
      </c>
      <c r="E111" s="587"/>
      <c r="F111" s="587"/>
      <c r="G111" s="587"/>
      <c r="H111" s="587"/>
      <c r="I111" s="587"/>
    </row>
    <row r="112" spans="3:9" s="138" customFormat="1" x14ac:dyDescent="0.25">
      <c r="C112" s="180"/>
      <c r="D112" s="584" t="s">
        <v>586</v>
      </c>
      <c r="E112" s="584"/>
      <c r="F112" s="584"/>
      <c r="G112" s="584"/>
      <c r="H112" s="584"/>
      <c r="I112" s="584"/>
    </row>
    <row r="113" spans="3:9" s="138" customFormat="1" x14ac:dyDescent="0.25">
      <c r="C113" s="182">
        <v>2.1</v>
      </c>
      <c r="D113" s="587" t="s">
        <v>587</v>
      </c>
      <c r="E113" s="587"/>
      <c r="F113" s="587"/>
      <c r="G113" s="587"/>
      <c r="H113" s="587"/>
      <c r="I113" s="587"/>
    </row>
    <row r="114" spans="3:9" s="138" customFormat="1" ht="24.75" customHeight="1" x14ac:dyDescent="0.25">
      <c r="C114" s="181"/>
      <c r="D114" s="563" t="s">
        <v>588</v>
      </c>
      <c r="E114" s="563"/>
      <c r="F114" s="563"/>
      <c r="G114" s="563"/>
      <c r="H114" s="563"/>
      <c r="I114" s="563"/>
    </row>
    <row r="115" spans="3:9" s="138" customFormat="1" x14ac:dyDescent="0.25">
      <c r="C115" s="181"/>
      <c r="D115" s="563" t="s">
        <v>589</v>
      </c>
      <c r="E115" s="563"/>
      <c r="F115" s="563"/>
      <c r="G115" s="563"/>
      <c r="H115" s="563"/>
      <c r="I115" s="563"/>
    </row>
    <row r="116" spans="3:9" s="138" customFormat="1" x14ac:dyDescent="0.25">
      <c r="C116" s="182">
        <v>2.12</v>
      </c>
      <c r="D116" s="565" t="s">
        <v>590</v>
      </c>
      <c r="E116" s="565"/>
      <c r="F116" s="565"/>
      <c r="G116" s="565"/>
      <c r="H116" s="565"/>
      <c r="I116" s="565"/>
    </row>
    <row r="117" spans="3:9" s="138" customFormat="1" ht="50.25" customHeight="1" thickBot="1" x14ac:dyDescent="0.3">
      <c r="C117" s="180"/>
      <c r="D117" s="563" t="s">
        <v>591</v>
      </c>
      <c r="E117" s="563"/>
      <c r="F117" s="563"/>
      <c r="G117" s="563"/>
      <c r="H117" s="563"/>
      <c r="I117" s="563"/>
    </row>
    <row r="118" spans="3:9" s="138" customFormat="1" ht="12" customHeight="1" thickBot="1" x14ac:dyDescent="0.3">
      <c r="C118" s="600" t="s">
        <v>592</v>
      </c>
      <c r="D118" s="601"/>
      <c r="E118" s="601"/>
      <c r="F118" s="601"/>
      <c r="G118" s="601"/>
      <c r="H118" s="601"/>
      <c r="I118" s="602"/>
    </row>
    <row r="119" spans="3:9" s="138" customFormat="1" ht="12" customHeight="1" x14ac:dyDescent="0.25">
      <c r="C119" s="172"/>
      <c r="D119" s="595" t="s">
        <v>569</v>
      </c>
      <c r="E119" s="595"/>
      <c r="F119" s="595"/>
      <c r="G119" s="595"/>
      <c r="H119" s="595"/>
      <c r="I119" s="595"/>
    </row>
    <row r="120" spans="3:9" s="138" customFormat="1" ht="12" customHeight="1" x14ac:dyDescent="0.25">
      <c r="C120" s="178" t="s">
        <v>509</v>
      </c>
      <c r="D120" s="596" t="s">
        <v>593</v>
      </c>
      <c r="E120" s="597"/>
      <c r="F120" s="597"/>
      <c r="G120" s="597"/>
      <c r="H120" s="597"/>
      <c r="I120" s="597"/>
    </row>
    <row r="121" spans="3:9" s="138" customFormat="1" ht="16.5" customHeight="1" x14ac:dyDescent="0.25">
      <c r="C121" s="178" t="s">
        <v>509</v>
      </c>
      <c r="D121" s="596" t="s">
        <v>594</v>
      </c>
      <c r="E121" s="597"/>
      <c r="F121" s="597"/>
      <c r="G121" s="597"/>
      <c r="H121" s="597"/>
      <c r="I121" s="597"/>
    </row>
    <row r="122" spans="3:9" s="138" customFormat="1" x14ac:dyDescent="0.25">
      <c r="C122" s="178" t="s">
        <v>509</v>
      </c>
      <c r="D122" s="596" t="s">
        <v>595</v>
      </c>
      <c r="E122" s="597"/>
      <c r="F122" s="597"/>
      <c r="G122" s="597"/>
      <c r="H122" s="597"/>
      <c r="I122" s="597"/>
    </row>
    <row r="123" spans="3:9" s="138" customFormat="1" ht="25.5" customHeight="1" x14ac:dyDescent="0.25">
      <c r="C123" s="183"/>
      <c r="D123" s="594" t="s">
        <v>596</v>
      </c>
      <c r="E123" s="594"/>
      <c r="F123" s="594"/>
      <c r="G123" s="594"/>
      <c r="H123" s="594"/>
      <c r="I123" s="594"/>
    </row>
    <row r="124" spans="3:9" s="138" customFormat="1" ht="12.75" customHeight="1" x14ac:dyDescent="0.25">
      <c r="C124" s="183"/>
      <c r="D124" s="594" t="s">
        <v>597</v>
      </c>
      <c r="E124" s="594"/>
      <c r="F124" s="594"/>
      <c r="G124" s="594"/>
      <c r="H124" s="594"/>
      <c r="I124" s="594"/>
    </row>
    <row r="125" spans="3:9" s="138" customFormat="1" ht="12" customHeight="1" x14ac:dyDescent="0.25">
      <c r="C125" s="172" t="s">
        <v>598</v>
      </c>
      <c r="D125" s="598" t="s">
        <v>599</v>
      </c>
      <c r="E125" s="598"/>
      <c r="F125" s="598"/>
      <c r="G125" s="598"/>
      <c r="H125" s="598"/>
      <c r="I125" s="598"/>
    </row>
    <row r="126" spans="3:9" s="138" customFormat="1" ht="12" customHeight="1" x14ac:dyDescent="0.25">
      <c r="C126" s="172" t="s">
        <v>600</v>
      </c>
      <c r="D126" s="563" t="s">
        <v>601</v>
      </c>
      <c r="E126" s="563"/>
      <c r="F126" s="563"/>
      <c r="G126" s="563"/>
      <c r="H126" s="563"/>
      <c r="I126" s="563"/>
    </row>
    <row r="127" spans="3:9" s="138" customFormat="1" x14ac:dyDescent="0.25">
      <c r="C127" s="172" t="s">
        <v>602</v>
      </c>
      <c r="D127" s="563" t="s">
        <v>603</v>
      </c>
      <c r="E127" s="563"/>
      <c r="F127" s="563"/>
      <c r="G127" s="563"/>
      <c r="H127" s="563"/>
      <c r="I127" s="563"/>
    </row>
    <row r="128" spans="3:9" s="138" customFormat="1" x14ac:dyDescent="0.25">
      <c r="C128" s="172" t="s">
        <v>604</v>
      </c>
      <c r="D128" s="563" t="s">
        <v>605</v>
      </c>
      <c r="E128" s="563"/>
      <c r="F128" s="563"/>
      <c r="G128" s="563"/>
      <c r="H128" s="563"/>
      <c r="I128" s="563"/>
    </row>
    <row r="129" spans="3:9" s="138" customFormat="1" x14ac:dyDescent="0.25">
      <c r="C129" s="172" t="s">
        <v>606</v>
      </c>
      <c r="D129" s="584" t="s">
        <v>607</v>
      </c>
      <c r="E129" s="584"/>
      <c r="F129" s="584"/>
      <c r="G129" s="584"/>
      <c r="H129" s="584"/>
      <c r="I129" s="584"/>
    </row>
    <row r="130" spans="3:9" s="138" customFormat="1" x14ac:dyDescent="0.25">
      <c r="C130" s="172" t="s">
        <v>608</v>
      </c>
      <c r="D130" s="584" t="s">
        <v>609</v>
      </c>
      <c r="E130" s="584"/>
      <c r="F130" s="584"/>
      <c r="G130" s="584"/>
      <c r="H130" s="584"/>
      <c r="I130" s="584"/>
    </row>
    <row r="131" spans="3:9" s="138" customFormat="1" ht="15" customHeight="1" x14ac:dyDescent="0.25">
      <c r="C131" s="172" t="s">
        <v>610</v>
      </c>
      <c r="D131" s="563" t="s">
        <v>611</v>
      </c>
      <c r="E131" s="563"/>
      <c r="F131" s="563"/>
      <c r="G131" s="563"/>
      <c r="H131" s="563"/>
      <c r="I131" s="563"/>
    </row>
    <row r="132" spans="3:9" s="138" customFormat="1" ht="12" customHeight="1" x14ac:dyDescent="0.25">
      <c r="C132" s="172" t="s">
        <v>612</v>
      </c>
      <c r="D132" s="563" t="s">
        <v>613</v>
      </c>
      <c r="E132" s="563"/>
      <c r="F132" s="563"/>
      <c r="G132" s="563"/>
      <c r="H132" s="563"/>
      <c r="I132" s="563"/>
    </row>
    <row r="133" spans="3:9" s="138" customFormat="1" ht="13.5" customHeight="1" x14ac:dyDescent="0.25">
      <c r="C133" s="172" t="s">
        <v>614</v>
      </c>
      <c r="D133" s="389" t="s">
        <v>615</v>
      </c>
      <c r="E133" s="397"/>
      <c r="F133" s="397"/>
      <c r="G133" s="397"/>
      <c r="H133" s="397"/>
      <c r="I133" s="397"/>
    </row>
    <row r="134" spans="3:9" s="138" customFormat="1" ht="24.75" customHeight="1" x14ac:dyDescent="0.25">
      <c r="C134" s="172"/>
      <c r="D134" s="563" t="s">
        <v>616</v>
      </c>
      <c r="E134" s="563"/>
      <c r="F134" s="563"/>
      <c r="G134" s="563"/>
      <c r="H134" s="563"/>
      <c r="I134" s="563"/>
    </row>
    <row r="135" spans="3:9" s="138" customFormat="1" x14ac:dyDescent="0.25">
      <c r="C135" s="184"/>
      <c r="D135" s="584" t="s">
        <v>617</v>
      </c>
      <c r="E135" s="584"/>
      <c r="F135" s="584"/>
      <c r="G135" s="584"/>
      <c r="H135" s="584"/>
      <c r="I135" s="584"/>
    </row>
    <row r="136" spans="3:9" s="138" customFormat="1" ht="12.5" thickBot="1" x14ac:dyDescent="0.3">
      <c r="C136" s="176"/>
      <c r="D136" s="584" t="s">
        <v>618</v>
      </c>
      <c r="E136" s="584"/>
      <c r="F136" s="584"/>
      <c r="G136" s="584"/>
      <c r="H136" s="584"/>
      <c r="I136" s="584"/>
    </row>
    <row r="137" spans="3:9" s="138" customFormat="1" ht="13.5" customHeight="1" thickBot="1" x14ac:dyDescent="0.3">
      <c r="C137" s="572" t="s">
        <v>619</v>
      </c>
      <c r="D137" s="573"/>
      <c r="E137" s="573"/>
      <c r="F137" s="573"/>
      <c r="G137" s="573"/>
      <c r="H137" s="573"/>
      <c r="I137" s="574"/>
    </row>
    <row r="138" spans="3:9" s="138" customFormat="1" ht="66" customHeight="1" x14ac:dyDescent="0.25">
      <c r="C138" s="169" t="s">
        <v>529</v>
      </c>
      <c r="D138" s="589" t="s">
        <v>620</v>
      </c>
      <c r="E138" s="589"/>
      <c r="F138" s="589"/>
      <c r="G138" s="589"/>
      <c r="H138" s="589"/>
      <c r="I138" s="589"/>
    </row>
    <row r="139" spans="3:9" s="138" customFormat="1" ht="60" customHeight="1" x14ac:dyDescent="0.25">
      <c r="C139" s="178" t="s">
        <v>509</v>
      </c>
      <c r="D139" s="565" t="s">
        <v>621</v>
      </c>
      <c r="E139" s="563"/>
      <c r="F139" s="563"/>
      <c r="G139" s="563"/>
      <c r="H139" s="563"/>
      <c r="I139" s="563"/>
    </row>
    <row r="140" spans="3:9" s="138" customFormat="1" ht="60" customHeight="1" x14ac:dyDescent="0.25">
      <c r="C140" s="178" t="s">
        <v>509</v>
      </c>
      <c r="D140" s="565" t="s">
        <v>622</v>
      </c>
      <c r="E140" s="565"/>
      <c r="F140" s="565"/>
      <c r="G140" s="565"/>
      <c r="H140" s="565"/>
      <c r="I140" s="565"/>
    </row>
    <row r="141" spans="3:9" s="138" customFormat="1" ht="5.25" customHeight="1" thickBot="1" x14ac:dyDescent="0.3">
      <c r="C141" s="185" t="s">
        <v>623</v>
      </c>
      <c r="D141" s="167"/>
      <c r="E141" s="153"/>
      <c r="F141" s="153"/>
      <c r="G141" s="153"/>
      <c r="H141" s="153"/>
      <c r="I141" s="153"/>
    </row>
    <row r="142" spans="3:9" s="140" customFormat="1" ht="15.75" customHeight="1" thickBot="1" x14ac:dyDescent="0.3">
      <c r="C142" s="572" t="s">
        <v>624</v>
      </c>
      <c r="D142" s="573"/>
      <c r="E142" s="573"/>
      <c r="F142" s="573"/>
      <c r="G142" s="573"/>
      <c r="H142" s="573"/>
      <c r="I142" s="574"/>
    </row>
    <row r="143" spans="3:9" s="138" customFormat="1" ht="35.25" customHeight="1" x14ac:dyDescent="0.25">
      <c r="C143" s="169" t="s">
        <v>529</v>
      </c>
      <c r="D143" s="589" t="s">
        <v>625</v>
      </c>
      <c r="E143" s="589"/>
      <c r="F143" s="589"/>
      <c r="G143" s="589"/>
      <c r="H143" s="589"/>
      <c r="I143" s="589"/>
    </row>
    <row r="144" spans="3:9" s="138" customFormat="1" ht="40.5" customHeight="1" x14ac:dyDescent="0.25">
      <c r="C144" s="178" t="s">
        <v>509</v>
      </c>
      <c r="D144" s="565" t="s">
        <v>626</v>
      </c>
      <c r="E144" s="565"/>
      <c r="F144" s="565"/>
      <c r="G144" s="565"/>
      <c r="H144" s="565"/>
      <c r="I144" s="565"/>
    </row>
    <row r="145" spans="3:9" s="138" customFormat="1" x14ac:dyDescent="0.25">
      <c r="C145" s="172">
        <v>5.0999999999999996</v>
      </c>
      <c r="D145" s="563" t="s">
        <v>627</v>
      </c>
      <c r="E145" s="563"/>
      <c r="F145" s="563"/>
      <c r="G145" s="563"/>
      <c r="H145" s="563"/>
      <c r="I145" s="563"/>
    </row>
    <row r="146" spans="3:9" s="138" customFormat="1" ht="18" customHeight="1" x14ac:dyDescent="0.25">
      <c r="C146" s="178" t="s">
        <v>509</v>
      </c>
      <c r="D146" s="587" t="s">
        <v>628</v>
      </c>
      <c r="E146" s="587"/>
      <c r="F146" s="587"/>
      <c r="G146" s="587"/>
      <c r="H146" s="587"/>
      <c r="I146" s="587"/>
    </row>
    <row r="147" spans="3:9" s="138" customFormat="1" ht="60.75" customHeight="1" thickBot="1" x14ac:dyDescent="0.3">
      <c r="C147" s="172">
        <v>5.2</v>
      </c>
      <c r="D147" s="565" t="s">
        <v>629</v>
      </c>
      <c r="E147" s="565"/>
      <c r="F147" s="565"/>
      <c r="G147" s="565"/>
      <c r="H147" s="565"/>
      <c r="I147" s="565"/>
    </row>
    <row r="148" spans="3:9" s="138" customFormat="1" ht="12.5" thickBot="1" x14ac:dyDescent="0.3">
      <c r="C148" s="572" t="s">
        <v>630</v>
      </c>
      <c r="D148" s="573"/>
      <c r="E148" s="573"/>
      <c r="F148" s="573"/>
      <c r="G148" s="573"/>
      <c r="H148" s="573"/>
      <c r="I148" s="574"/>
    </row>
    <row r="149" spans="3:9" s="138" customFormat="1" ht="12" customHeight="1" x14ac:dyDescent="0.25">
      <c r="C149" s="169" t="s">
        <v>631</v>
      </c>
      <c r="D149" s="563" t="s">
        <v>632</v>
      </c>
      <c r="E149" s="563"/>
      <c r="F149" s="563"/>
      <c r="G149" s="563"/>
      <c r="H149" s="563"/>
      <c r="I149" s="563"/>
    </row>
    <row r="150" spans="3:9" s="138" customFormat="1" x14ac:dyDescent="0.25">
      <c r="C150" s="172" t="s">
        <v>633</v>
      </c>
      <c r="D150" s="563" t="s">
        <v>634</v>
      </c>
      <c r="E150" s="563"/>
      <c r="F150" s="563"/>
      <c r="G150" s="563"/>
      <c r="H150" s="563"/>
      <c r="I150" s="563"/>
    </row>
    <row r="151" spans="3:9" s="138" customFormat="1" ht="60.75" customHeight="1" thickBot="1" x14ac:dyDescent="0.3">
      <c r="C151" s="172"/>
      <c r="D151" s="565" t="s">
        <v>635</v>
      </c>
      <c r="E151" s="565"/>
      <c r="F151" s="565"/>
      <c r="G151" s="565"/>
      <c r="H151" s="565"/>
      <c r="I151" s="565"/>
    </row>
    <row r="152" spans="3:9" s="140" customFormat="1" ht="12.5" thickBot="1" x14ac:dyDescent="0.3">
      <c r="C152" s="572" t="s">
        <v>636</v>
      </c>
      <c r="D152" s="573"/>
      <c r="E152" s="573"/>
      <c r="F152" s="573"/>
      <c r="G152" s="573"/>
      <c r="H152" s="573"/>
      <c r="I152" s="574"/>
    </row>
    <row r="153" spans="3:9" s="138" customFormat="1" ht="75" customHeight="1" x14ac:dyDescent="0.25">
      <c r="C153" s="169" t="s">
        <v>529</v>
      </c>
      <c r="D153" s="589" t="s">
        <v>637</v>
      </c>
      <c r="E153" s="589"/>
      <c r="F153" s="589"/>
      <c r="G153" s="589"/>
      <c r="H153" s="589"/>
      <c r="I153" s="589"/>
    </row>
    <row r="154" spans="3:9" s="138" customFormat="1" ht="63.75" customHeight="1" x14ac:dyDescent="0.25">
      <c r="C154" s="172" t="s">
        <v>638</v>
      </c>
      <c r="D154" s="565" t="s">
        <v>629</v>
      </c>
      <c r="E154" s="565"/>
      <c r="F154" s="565"/>
      <c r="G154" s="565"/>
      <c r="H154" s="565"/>
      <c r="I154" s="565"/>
    </row>
    <row r="155" spans="3:9" s="138" customFormat="1" ht="12.5" thickBot="1" x14ac:dyDescent="0.3">
      <c r="C155" s="590" t="s">
        <v>639</v>
      </c>
      <c r="D155" s="590"/>
      <c r="E155" s="590"/>
      <c r="F155" s="590"/>
      <c r="G155" s="590"/>
      <c r="H155" s="590"/>
      <c r="I155" s="590"/>
    </row>
    <row r="156" spans="3:9" x14ac:dyDescent="0.3">
      <c r="C156" s="184"/>
      <c r="D156" s="589" t="s">
        <v>640</v>
      </c>
      <c r="E156" s="589"/>
      <c r="F156" s="589"/>
      <c r="G156" s="589"/>
      <c r="H156" s="589"/>
      <c r="I156" s="589"/>
    </row>
    <row r="157" spans="3:9" s="138" customFormat="1" ht="6" customHeight="1" thickBot="1" x14ac:dyDescent="0.35">
      <c r="C157" s="186"/>
      <c r="D157" s="166"/>
      <c r="E157" s="154"/>
      <c r="F157" s="154"/>
      <c r="G157" s="154"/>
      <c r="H157" s="154"/>
      <c r="I157" s="154"/>
    </row>
    <row r="158" spans="3:9" s="138" customFormat="1" ht="12" customHeight="1" thickBot="1" x14ac:dyDescent="0.3">
      <c r="C158" s="591" t="s">
        <v>641</v>
      </c>
      <c r="D158" s="592"/>
      <c r="E158" s="592"/>
      <c r="F158" s="592"/>
      <c r="G158" s="592"/>
      <c r="H158" s="592"/>
      <c r="I158" s="593"/>
    </row>
    <row r="159" spans="3:9" s="138" customFormat="1" x14ac:dyDescent="0.25">
      <c r="C159" s="187" t="s">
        <v>642</v>
      </c>
      <c r="D159" s="568" t="s">
        <v>509</v>
      </c>
      <c r="E159" s="568"/>
      <c r="F159" s="568"/>
      <c r="G159" s="568"/>
      <c r="H159" s="568"/>
      <c r="I159" s="568"/>
    </row>
    <row r="160" spans="3:9" s="138" customFormat="1" ht="12.75" customHeight="1" x14ac:dyDescent="0.25">
      <c r="C160" s="187"/>
      <c r="D160" s="584" t="s">
        <v>643</v>
      </c>
      <c r="E160" s="584"/>
      <c r="F160" s="584"/>
      <c r="G160" s="584"/>
      <c r="H160" s="584"/>
      <c r="I160" s="584"/>
    </row>
    <row r="161" spans="3:9" s="138" customFormat="1" ht="25.5" customHeight="1" x14ac:dyDescent="0.25">
      <c r="C161" s="184"/>
      <c r="D161" s="565" t="s">
        <v>644</v>
      </c>
      <c r="E161" s="565"/>
      <c r="F161" s="565"/>
      <c r="G161" s="565"/>
      <c r="H161" s="565"/>
      <c r="I161" s="565"/>
    </row>
    <row r="162" spans="3:9" s="138" customFormat="1" ht="11.25" customHeight="1" x14ac:dyDescent="0.25">
      <c r="C162" s="187" t="s">
        <v>645</v>
      </c>
      <c r="D162" s="568" t="s">
        <v>509</v>
      </c>
      <c r="E162" s="568"/>
      <c r="F162" s="568"/>
      <c r="G162" s="568"/>
      <c r="H162" s="568"/>
      <c r="I162" s="568"/>
    </row>
    <row r="163" spans="3:9" s="138" customFormat="1" ht="24" customHeight="1" x14ac:dyDescent="0.25">
      <c r="C163" s="187"/>
      <c r="D163" s="566" t="s">
        <v>646</v>
      </c>
      <c r="E163" s="568"/>
      <c r="F163" s="568"/>
      <c r="G163" s="568"/>
      <c r="H163" s="568"/>
      <c r="I163" s="568"/>
    </row>
    <row r="164" spans="3:9" s="138" customFormat="1" ht="13.5" customHeight="1" x14ac:dyDescent="0.25">
      <c r="C164" s="169" t="s">
        <v>529</v>
      </c>
      <c r="D164" s="566" t="s">
        <v>647</v>
      </c>
      <c r="E164" s="566"/>
      <c r="F164" s="566"/>
      <c r="G164" s="566"/>
      <c r="H164" s="566"/>
      <c r="I164" s="566"/>
    </row>
    <row r="165" spans="3:9" s="138" customFormat="1" ht="51" customHeight="1" x14ac:dyDescent="0.25">
      <c r="C165" s="170">
        <v>8.3000000000000007</v>
      </c>
      <c r="D165" s="568" t="s">
        <v>648</v>
      </c>
      <c r="E165" s="568"/>
      <c r="F165" s="568"/>
      <c r="G165" s="568"/>
      <c r="H165" s="568"/>
      <c r="I165" s="568"/>
    </row>
    <row r="166" spans="3:9" s="138" customFormat="1" ht="51" customHeight="1" thickBot="1" x14ac:dyDescent="0.3">
      <c r="C166" s="170" t="s">
        <v>649</v>
      </c>
      <c r="D166" s="563" t="s">
        <v>650</v>
      </c>
      <c r="E166" s="563"/>
      <c r="F166" s="563"/>
      <c r="G166" s="563"/>
      <c r="H166" s="563"/>
      <c r="I166" s="563"/>
    </row>
    <row r="167" spans="3:9" s="138" customFormat="1" ht="12.75" customHeight="1" thickBot="1" x14ac:dyDescent="0.3">
      <c r="C167" s="591" t="s">
        <v>651</v>
      </c>
      <c r="D167" s="592"/>
      <c r="E167" s="592"/>
      <c r="F167" s="592"/>
      <c r="G167" s="592"/>
      <c r="H167" s="592"/>
      <c r="I167" s="593"/>
    </row>
    <row r="168" spans="3:9" s="138" customFormat="1" ht="52.5" customHeight="1" x14ac:dyDescent="0.25">
      <c r="C168" s="617" t="s">
        <v>652</v>
      </c>
      <c r="D168" s="617"/>
      <c r="E168" s="617"/>
      <c r="F168" s="617"/>
      <c r="G168" s="617"/>
      <c r="H168" s="617"/>
      <c r="I168" s="617"/>
    </row>
    <row r="169" spans="3:9" s="138" customFormat="1" x14ac:dyDescent="0.25">
      <c r="C169" s="169">
        <v>8.5</v>
      </c>
      <c r="D169" s="583" t="s">
        <v>653</v>
      </c>
      <c r="E169" s="583"/>
      <c r="F169" s="583"/>
      <c r="G169" s="583"/>
      <c r="H169" s="583"/>
      <c r="I169" s="583"/>
    </row>
    <row r="170" spans="3:9" s="138" customFormat="1" ht="27" customHeight="1" x14ac:dyDescent="0.25">
      <c r="C170" s="184"/>
      <c r="D170" s="563" t="s">
        <v>654</v>
      </c>
      <c r="E170" s="563"/>
      <c r="F170" s="563"/>
      <c r="G170" s="563"/>
      <c r="H170" s="563"/>
      <c r="I170" s="563"/>
    </row>
    <row r="171" spans="3:9" s="138" customFormat="1" ht="28.5" customHeight="1" x14ac:dyDescent="0.25">
      <c r="C171" s="169" t="s">
        <v>655</v>
      </c>
      <c r="D171" s="563" t="s">
        <v>656</v>
      </c>
      <c r="E171" s="563"/>
      <c r="F171" s="563"/>
      <c r="G171" s="563"/>
      <c r="H171" s="563"/>
      <c r="I171" s="563"/>
    </row>
    <row r="172" spans="3:9" s="138" customFormat="1" ht="16.5" customHeight="1" x14ac:dyDescent="0.25">
      <c r="C172" s="187" t="s">
        <v>349</v>
      </c>
      <c r="D172" s="576" t="s">
        <v>657</v>
      </c>
      <c r="E172" s="576"/>
      <c r="F172" s="576"/>
      <c r="G172" s="576"/>
      <c r="H172" s="576"/>
      <c r="I172" s="576"/>
    </row>
    <row r="173" spans="3:9" s="138" customFormat="1" ht="12.75" customHeight="1" x14ac:dyDescent="0.25">
      <c r="C173" s="178" t="s">
        <v>509</v>
      </c>
      <c r="D173" s="565" t="s">
        <v>658</v>
      </c>
      <c r="E173" s="568"/>
      <c r="F173" s="568"/>
      <c r="G173" s="568"/>
      <c r="H173" s="568"/>
      <c r="I173" s="568"/>
    </row>
    <row r="174" spans="3:9" s="138" customFormat="1" ht="21.75" customHeight="1" x14ac:dyDescent="0.25">
      <c r="C174" s="184"/>
      <c r="D174" s="563" t="s">
        <v>659</v>
      </c>
      <c r="E174" s="563"/>
      <c r="F174" s="563"/>
      <c r="G174" s="563"/>
      <c r="H174" s="563"/>
      <c r="I174" s="563"/>
    </row>
    <row r="175" spans="3:9" s="138" customFormat="1" ht="49.9" customHeight="1" x14ac:dyDescent="0.25">
      <c r="C175" s="187" t="s">
        <v>660</v>
      </c>
      <c r="D175" s="563" t="s">
        <v>661</v>
      </c>
      <c r="E175" s="564"/>
      <c r="F175" s="564"/>
      <c r="G175" s="564"/>
      <c r="H175" s="564"/>
      <c r="I175" s="564"/>
    </row>
    <row r="176" spans="3:9" s="138" customFormat="1" ht="12.75" customHeight="1" x14ac:dyDescent="0.25">
      <c r="C176" s="187" t="s">
        <v>662</v>
      </c>
      <c r="D176" s="576" t="s">
        <v>663</v>
      </c>
      <c r="E176" s="576"/>
      <c r="F176" s="576"/>
      <c r="G176" s="576"/>
      <c r="H176" s="576"/>
      <c r="I176" s="576"/>
    </row>
    <row r="177" spans="3:9" s="139" customFormat="1" ht="13.5" customHeight="1" x14ac:dyDescent="0.25">
      <c r="C177" s="582" t="s">
        <v>664</v>
      </c>
      <c r="D177" s="582"/>
      <c r="E177" s="582"/>
      <c r="F177" s="582"/>
      <c r="G177" s="582"/>
      <c r="H177" s="582"/>
      <c r="I177" s="582"/>
    </row>
    <row r="178" spans="3:9" s="138" customFormat="1" ht="60.75" customHeight="1" x14ac:dyDescent="0.25">
      <c r="C178" s="170" t="s">
        <v>354</v>
      </c>
      <c r="D178" s="565" t="s">
        <v>665</v>
      </c>
      <c r="E178" s="565"/>
      <c r="F178" s="565"/>
      <c r="G178" s="565"/>
      <c r="H178" s="565"/>
      <c r="I178" s="565"/>
    </row>
    <row r="179" spans="3:9" s="138" customFormat="1" ht="74.5" customHeight="1" x14ac:dyDescent="0.25">
      <c r="C179" s="170" t="s">
        <v>666</v>
      </c>
      <c r="D179" s="565" t="s">
        <v>667</v>
      </c>
      <c r="E179" s="565"/>
      <c r="F179" s="565"/>
      <c r="G179" s="565"/>
      <c r="H179" s="565"/>
      <c r="I179" s="565"/>
    </row>
    <row r="180" spans="3:9" s="138" customFormat="1" ht="64.5" customHeight="1" thickBot="1" x14ac:dyDescent="0.3">
      <c r="C180" s="170" t="s">
        <v>668</v>
      </c>
      <c r="D180" s="568" t="s">
        <v>669</v>
      </c>
      <c r="E180" s="568"/>
      <c r="F180" s="568"/>
      <c r="G180" s="568"/>
      <c r="H180" s="568"/>
      <c r="I180" s="568"/>
    </row>
    <row r="181" spans="3:9" s="138" customFormat="1" ht="16.5" customHeight="1" thickBot="1" x14ac:dyDescent="0.3">
      <c r="C181" s="572" t="s">
        <v>670</v>
      </c>
      <c r="D181" s="573"/>
      <c r="E181" s="573"/>
      <c r="F181" s="573"/>
      <c r="G181" s="573"/>
      <c r="H181" s="573"/>
      <c r="I181" s="574"/>
    </row>
    <row r="182" spans="3:9" s="138" customFormat="1" ht="14.25" customHeight="1" x14ac:dyDescent="0.25">
      <c r="C182" s="582" t="s">
        <v>671</v>
      </c>
      <c r="D182" s="582"/>
      <c r="E182" s="582"/>
      <c r="F182" s="582"/>
      <c r="G182" s="582"/>
      <c r="H182" s="582"/>
      <c r="I182" s="582"/>
    </row>
    <row r="183" spans="3:9" s="138" customFormat="1" ht="12" customHeight="1" x14ac:dyDescent="0.25">
      <c r="C183" s="187"/>
      <c r="D183" s="588" t="s">
        <v>672</v>
      </c>
      <c r="E183" s="588"/>
      <c r="F183" s="588"/>
      <c r="G183" s="588"/>
      <c r="H183" s="588"/>
      <c r="I183" s="588"/>
    </row>
    <row r="184" spans="3:9" s="138" customFormat="1" x14ac:dyDescent="0.25">
      <c r="C184" s="170" t="s">
        <v>673</v>
      </c>
      <c r="D184" s="576" t="s">
        <v>674</v>
      </c>
      <c r="E184" s="576"/>
      <c r="F184" s="576"/>
      <c r="G184" s="576"/>
      <c r="H184" s="576"/>
      <c r="I184" s="576"/>
    </row>
    <row r="185" spans="3:9" s="138" customFormat="1" ht="48.75" customHeight="1" x14ac:dyDescent="0.25">
      <c r="C185" s="170" t="s">
        <v>529</v>
      </c>
      <c r="D185" s="563" t="s">
        <v>675</v>
      </c>
      <c r="E185" s="563"/>
      <c r="F185" s="563"/>
      <c r="G185" s="563"/>
      <c r="H185" s="563"/>
      <c r="I185" s="563"/>
    </row>
    <row r="186" spans="3:9" s="138" customFormat="1" x14ac:dyDescent="0.25">
      <c r="C186" s="398" t="s">
        <v>676</v>
      </c>
      <c r="D186" s="587" t="s">
        <v>677</v>
      </c>
      <c r="E186" s="587"/>
      <c r="F186" s="587"/>
      <c r="G186" s="587"/>
      <c r="H186" s="587"/>
      <c r="I186" s="587"/>
    </row>
    <row r="187" spans="3:9" s="138" customFormat="1" ht="13.5" customHeight="1" x14ac:dyDescent="0.25">
      <c r="C187" s="170"/>
      <c r="D187" s="565" t="s">
        <v>678</v>
      </c>
      <c r="E187" s="565"/>
      <c r="F187" s="565"/>
      <c r="G187" s="565"/>
      <c r="H187" s="565"/>
      <c r="I187" s="565"/>
    </row>
    <row r="188" spans="3:9" s="138" customFormat="1" ht="12" customHeight="1" x14ac:dyDescent="0.25">
      <c r="C188" s="169" t="s">
        <v>673</v>
      </c>
      <c r="D188" s="583" t="s">
        <v>679</v>
      </c>
      <c r="E188" s="583"/>
      <c r="F188" s="583"/>
      <c r="G188" s="583"/>
      <c r="H188" s="583"/>
      <c r="I188" s="583"/>
    </row>
    <row r="189" spans="3:9" s="138" customFormat="1" ht="24" customHeight="1" x14ac:dyDescent="0.25">
      <c r="C189" s="184"/>
      <c r="D189" s="563" t="s">
        <v>680</v>
      </c>
      <c r="E189" s="563"/>
      <c r="F189" s="563"/>
      <c r="G189" s="563"/>
      <c r="H189" s="563"/>
      <c r="I189" s="563"/>
    </row>
    <row r="190" spans="3:9" s="138" customFormat="1" ht="28.5" customHeight="1" x14ac:dyDescent="0.25">
      <c r="C190" s="169" t="s">
        <v>655</v>
      </c>
      <c r="D190" s="563" t="s">
        <v>681</v>
      </c>
      <c r="E190" s="563"/>
      <c r="F190" s="563"/>
      <c r="G190" s="563"/>
      <c r="H190" s="563"/>
      <c r="I190" s="563"/>
    </row>
    <row r="191" spans="3:9" s="138" customFormat="1" ht="11.25" customHeight="1" x14ac:dyDescent="0.25">
      <c r="C191" s="185" t="s">
        <v>682</v>
      </c>
      <c r="D191" s="575" t="s">
        <v>683</v>
      </c>
      <c r="E191" s="575"/>
      <c r="F191" s="575"/>
      <c r="G191" s="575"/>
      <c r="H191" s="575"/>
      <c r="I191" s="575"/>
    </row>
    <row r="192" spans="3:9" s="138" customFormat="1" ht="14.25" customHeight="1" x14ac:dyDescent="0.25">
      <c r="C192" s="582" t="s">
        <v>684</v>
      </c>
      <c r="D192" s="582"/>
      <c r="E192" s="582"/>
      <c r="F192" s="582"/>
      <c r="G192" s="582"/>
      <c r="H192" s="582"/>
      <c r="I192" s="582"/>
    </row>
    <row r="193" spans="3:9" s="138" customFormat="1" ht="36.75" customHeight="1" x14ac:dyDescent="0.25">
      <c r="C193" s="398" t="s">
        <v>509</v>
      </c>
      <c r="D193" s="565" t="s">
        <v>685</v>
      </c>
      <c r="E193" s="565"/>
      <c r="F193" s="565"/>
      <c r="G193" s="565"/>
      <c r="H193" s="565"/>
      <c r="I193" s="565"/>
    </row>
    <row r="194" spans="3:9" s="138" customFormat="1" ht="99.75" customHeight="1" x14ac:dyDescent="0.25">
      <c r="C194" s="398" t="s">
        <v>686</v>
      </c>
      <c r="D194" s="565" t="s">
        <v>687</v>
      </c>
      <c r="E194" s="565"/>
      <c r="F194" s="565"/>
      <c r="G194" s="565"/>
      <c r="H194" s="565"/>
      <c r="I194" s="565"/>
    </row>
    <row r="195" spans="3:9" s="138" customFormat="1" ht="35.25" customHeight="1" x14ac:dyDescent="0.25">
      <c r="C195" s="185" t="s">
        <v>688</v>
      </c>
      <c r="D195" s="565" t="s">
        <v>689</v>
      </c>
      <c r="E195" s="568"/>
      <c r="F195" s="568"/>
      <c r="G195" s="568"/>
      <c r="H195" s="568"/>
      <c r="I195" s="568"/>
    </row>
    <row r="196" spans="3:9" s="138" customFormat="1" x14ac:dyDescent="0.25">
      <c r="C196" s="185" t="s">
        <v>690</v>
      </c>
      <c r="D196" s="563" t="s">
        <v>691</v>
      </c>
      <c r="E196" s="563"/>
      <c r="F196" s="563"/>
      <c r="G196" s="563"/>
      <c r="H196" s="563"/>
      <c r="I196" s="563"/>
    </row>
    <row r="197" spans="3:9" s="138" customFormat="1" ht="12.75" customHeight="1" x14ac:dyDescent="0.25">
      <c r="C197" s="170" t="s">
        <v>415</v>
      </c>
      <c r="D197" s="584" t="s">
        <v>692</v>
      </c>
      <c r="E197" s="584"/>
      <c r="F197" s="584"/>
      <c r="G197" s="584"/>
      <c r="H197" s="584"/>
      <c r="I197" s="584"/>
    </row>
    <row r="198" spans="3:9" s="138" customFormat="1" ht="47.25" customHeight="1" x14ac:dyDescent="0.25">
      <c r="C198" s="185" t="s">
        <v>693</v>
      </c>
      <c r="D198" s="585" t="s">
        <v>694</v>
      </c>
      <c r="E198" s="586"/>
      <c r="F198" s="586"/>
      <c r="G198" s="586"/>
      <c r="H198" s="586"/>
      <c r="I198" s="586"/>
    </row>
    <row r="199" spans="3:9" s="138" customFormat="1" x14ac:dyDescent="0.25">
      <c r="C199" s="170"/>
      <c r="D199" s="563" t="s">
        <v>695</v>
      </c>
      <c r="E199" s="565"/>
      <c r="F199" s="565"/>
      <c r="G199" s="565"/>
      <c r="H199" s="565"/>
      <c r="I199" s="565"/>
    </row>
    <row r="200" spans="3:9" s="138" customFormat="1" ht="48" customHeight="1" x14ac:dyDescent="0.25">
      <c r="C200" s="170" t="s">
        <v>696</v>
      </c>
      <c r="D200" s="585" t="s">
        <v>697</v>
      </c>
      <c r="E200" s="586"/>
      <c r="F200" s="586"/>
      <c r="G200" s="586"/>
      <c r="H200" s="586"/>
      <c r="I200" s="586"/>
    </row>
    <row r="201" spans="3:9" ht="12.5" thickBot="1" x14ac:dyDescent="0.35"/>
    <row r="202" spans="3:9" s="138" customFormat="1" ht="12" customHeight="1" thickBot="1" x14ac:dyDescent="0.3">
      <c r="C202" s="572" t="s">
        <v>698</v>
      </c>
      <c r="D202" s="573"/>
      <c r="E202" s="573"/>
      <c r="F202" s="573"/>
      <c r="G202" s="573"/>
      <c r="H202" s="573"/>
      <c r="I202" s="574"/>
    </row>
    <row r="203" spans="3:9" s="138" customFormat="1" ht="14.25" customHeight="1" x14ac:dyDescent="0.25">
      <c r="C203" s="170">
        <v>10.1</v>
      </c>
      <c r="D203" s="577" t="s">
        <v>699</v>
      </c>
      <c r="E203" s="577"/>
      <c r="F203" s="577"/>
      <c r="G203" s="577"/>
      <c r="H203" s="577"/>
      <c r="I203" s="577"/>
    </row>
    <row r="204" spans="3:9" s="138" customFormat="1" ht="24" customHeight="1" x14ac:dyDescent="0.25">
      <c r="C204" s="188"/>
      <c r="D204" s="563" t="s">
        <v>700</v>
      </c>
      <c r="E204" s="563"/>
      <c r="F204" s="563"/>
      <c r="G204" s="563"/>
      <c r="H204" s="563"/>
      <c r="I204" s="563"/>
    </row>
    <row r="205" spans="3:9" s="138" customFormat="1" x14ac:dyDescent="0.25">
      <c r="C205" s="581" t="s">
        <v>701</v>
      </c>
      <c r="D205" s="565" t="s">
        <v>702</v>
      </c>
      <c r="E205" s="568"/>
      <c r="F205" s="568"/>
      <c r="G205" s="568"/>
      <c r="H205" s="568"/>
      <c r="I205" s="568"/>
    </row>
    <row r="206" spans="3:9" s="138" customFormat="1" ht="36.75" customHeight="1" x14ac:dyDescent="0.25">
      <c r="C206" s="581"/>
      <c r="D206" s="563" t="s">
        <v>703</v>
      </c>
      <c r="E206" s="563"/>
      <c r="F206" s="563"/>
      <c r="G206" s="563"/>
      <c r="H206" s="563"/>
      <c r="I206" s="563"/>
    </row>
    <row r="207" spans="3:9" s="138" customFormat="1" ht="24" customHeight="1" x14ac:dyDescent="0.25">
      <c r="C207" s="581"/>
      <c r="D207" s="565" t="s">
        <v>704</v>
      </c>
      <c r="E207" s="565"/>
      <c r="F207" s="565"/>
      <c r="G207" s="565"/>
      <c r="H207" s="565"/>
      <c r="I207" s="565"/>
    </row>
    <row r="208" spans="3:9" s="138" customFormat="1" ht="14.25" customHeight="1" x14ac:dyDescent="0.25">
      <c r="C208" s="185" t="s">
        <v>705</v>
      </c>
      <c r="D208" s="563" t="s">
        <v>706</v>
      </c>
      <c r="E208" s="563"/>
      <c r="F208" s="563"/>
      <c r="G208" s="563"/>
      <c r="H208" s="563"/>
      <c r="I208" s="563"/>
    </row>
    <row r="209" spans="3:9" s="138" customFormat="1" ht="12" customHeight="1" x14ac:dyDescent="0.25">
      <c r="C209" s="185" t="s">
        <v>707</v>
      </c>
      <c r="D209" s="563" t="s">
        <v>708</v>
      </c>
      <c r="E209" s="563"/>
      <c r="F209" s="563"/>
      <c r="G209" s="563"/>
      <c r="H209" s="563"/>
      <c r="I209" s="563"/>
    </row>
    <row r="210" spans="3:9" s="138" customFormat="1" ht="14.25" customHeight="1" thickBot="1" x14ac:dyDescent="0.3">
      <c r="C210" s="169" t="s">
        <v>462</v>
      </c>
      <c r="D210" s="563" t="s">
        <v>709</v>
      </c>
      <c r="E210" s="563"/>
      <c r="F210" s="563"/>
      <c r="G210" s="563"/>
      <c r="H210" s="563"/>
      <c r="I210" s="563"/>
    </row>
    <row r="211" spans="3:9" s="138" customFormat="1" ht="15" customHeight="1" thickBot="1" x14ac:dyDescent="0.3">
      <c r="C211" s="572" t="s">
        <v>710</v>
      </c>
      <c r="D211" s="573"/>
      <c r="E211" s="573"/>
      <c r="F211" s="573"/>
      <c r="G211" s="573"/>
      <c r="H211" s="573"/>
      <c r="I211" s="574"/>
    </row>
    <row r="212" spans="3:9" s="138" customFormat="1" ht="12.75" customHeight="1" x14ac:dyDescent="0.25">
      <c r="C212" s="189" t="s">
        <v>509</v>
      </c>
      <c r="D212" s="563" t="s">
        <v>711</v>
      </c>
      <c r="E212" s="568"/>
      <c r="F212" s="568"/>
      <c r="G212" s="568"/>
      <c r="H212" s="568"/>
      <c r="I212" s="568"/>
    </row>
    <row r="213" spans="3:9" s="138" customFormat="1" ht="11.25" customHeight="1" x14ac:dyDescent="0.25">
      <c r="C213" s="185" t="s">
        <v>484</v>
      </c>
      <c r="D213" s="563" t="s">
        <v>712</v>
      </c>
      <c r="E213" s="563"/>
      <c r="F213" s="563"/>
      <c r="G213" s="563"/>
      <c r="H213" s="563"/>
      <c r="I213" s="563"/>
    </row>
    <row r="214" spans="3:9" s="138" customFormat="1" ht="23.25" customHeight="1" x14ac:dyDescent="0.25">
      <c r="C214" s="170" t="s">
        <v>487</v>
      </c>
      <c r="D214" s="565" t="s">
        <v>713</v>
      </c>
      <c r="E214" s="565"/>
      <c r="F214" s="565"/>
      <c r="G214" s="565"/>
      <c r="H214" s="565"/>
      <c r="I214" s="565"/>
    </row>
    <row r="215" spans="3:9" s="138" customFormat="1" ht="48" customHeight="1" x14ac:dyDescent="0.25">
      <c r="C215" s="570"/>
      <c r="D215" s="570"/>
      <c r="E215" s="570"/>
      <c r="F215" s="570"/>
      <c r="G215" s="570"/>
      <c r="H215" s="570"/>
      <c r="I215" s="570"/>
    </row>
    <row r="216" spans="3:9" s="138" customFormat="1" ht="14.25" customHeight="1" x14ac:dyDescent="0.25">
      <c r="C216" s="160"/>
      <c r="D216" s="569"/>
      <c r="E216" s="569"/>
      <c r="F216" s="569"/>
      <c r="G216" s="569"/>
      <c r="H216" s="569"/>
      <c r="I216" s="569"/>
    </row>
    <row r="217" spans="3:9" s="138" customFormat="1" ht="15.75" customHeight="1" x14ac:dyDescent="0.25">
      <c r="C217" s="571"/>
      <c r="D217" s="571"/>
      <c r="E217" s="571"/>
      <c r="F217" s="571"/>
      <c r="G217" s="571"/>
      <c r="H217" s="571"/>
      <c r="I217" s="571"/>
    </row>
    <row r="218" spans="3:9" s="138" customFormat="1" ht="24" customHeight="1" x14ac:dyDescent="0.25">
      <c r="C218" s="160"/>
      <c r="D218" s="569"/>
      <c r="E218" s="569"/>
      <c r="F218" s="569"/>
      <c r="G218" s="569"/>
      <c r="H218" s="569"/>
      <c r="I218" s="569"/>
    </row>
    <row r="219" spans="3:9" s="138" customFormat="1" ht="12.75" customHeight="1" x14ac:dyDescent="0.25">
      <c r="C219" s="161"/>
      <c r="D219" s="579"/>
      <c r="E219" s="579"/>
      <c r="F219" s="579"/>
      <c r="G219" s="579"/>
      <c r="H219" s="579"/>
      <c r="I219" s="579"/>
    </row>
    <row r="220" spans="3:9" s="138" customFormat="1" ht="48" customHeight="1" x14ac:dyDescent="0.25">
      <c r="C220" s="160"/>
      <c r="D220" s="580"/>
      <c r="E220" s="580"/>
      <c r="F220" s="580"/>
      <c r="G220" s="580"/>
      <c r="H220" s="580"/>
      <c r="I220" s="580"/>
    </row>
    <row r="221" spans="3:9" s="138" customFormat="1" x14ac:dyDescent="0.25">
      <c r="C221" s="160"/>
      <c r="D221" s="580"/>
      <c r="E221" s="580"/>
      <c r="F221" s="580"/>
      <c r="G221" s="580"/>
      <c r="H221" s="580"/>
      <c r="I221" s="580"/>
    </row>
    <row r="222" spans="3:9" s="138" customFormat="1" ht="13.5" customHeight="1" x14ac:dyDescent="0.25">
      <c r="C222" s="571"/>
      <c r="D222" s="571"/>
      <c r="E222" s="571"/>
      <c r="F222" s="571"/>
      <c r="G222" s="571"/>
      <c r="H222" s="571"/>
      <c r="I222" s="571"/>
    </row>
    <row r="223" spans="3:9" s="138" customFormat="1" ht="24" customHeight="1" x14ac:dyDescent="0.25">
      <c r="C223" s="160"/>
      <c r="D223" s="569"/>
      <c r="E223" s="569"/>
      <c r="F223" s="569"/>
      <c r="G223" s="569"/>
      <c r="H223" s="569"/>
      <c r="I223" s="569"/>
    </row>
    <row r="224" spans="3:9" s="138" customFormat="1" ht="13.5" customHeight="1" x14ac:dyDescent="0.25">
      <c r="C224" s="160"/>
      <c r="D224" s="579"/>
      <c r="E224" s="579"/>
      <c r="F224" s="579"/>
      <c r="G224" s="579"/>
      <c r="H224" s="579"/>
      <c r="I224" s="579"/>
    </row>
    <row r="225" spans="3:9" s="138" customFormat="1" ht="13.5" customHeight="1" x14ac:dyDescent="0.25">
      <c r="C225" s="571"/>
      <c r="D225" s="571"/>
      <c r="E225" s="571"/>
      <c r="F225" s="571"/>
      <c r="G225" s="571"/>
      <c r="H225" s="571"/>
      <c r="I225" s="571"/>
    </row>
    <row r="226" spans="3:9" s="138" customFormat="1" ht="14.25" customHeight="1" x14ac:dyDescent="0.25">
      <c r="C226" s="160"/>
      <c r="D226" s="569"/>
      <c r="E226" s="569"/>
      <c r="F226" s="569"/>
      <c r="G226" s="569"/>
      <c r="H226" s="569"/>
      <c r="I226" s="569"/>
    </row>
    <row r="227" spans="3:9" s="138" customFormat="1" ht="4.5" customHeight="1" x14ac:dyDescent="0.25">
      <c r="C227" s="160"/>
      <c r="D227" s="569"/>
      <c r="E227" s="569"/>
      <c r="F227" s="569"/>
      <c r="G227" s="569"/>
      <c r="H227" s="569"/>
      <c r="I227" s="569"/>
    </row>
    <row r="228" spans="3:9" s="138" customFormat="1" ht="12" customHeight="1" x14ac:dyDescent="0.25">
      <c r="C228" s="160"/>
      <c r="D228" s="569"/>
      <c r="E228" s="569"/>
      <c r="F228" s="569"/>
      <c r="G228" s="569"/>
      <c r="H228" s="569"/>
      <c r="I228" s="569"/>
    </row>
    <row r="229" spans="3:9" x14ac:dyDescent="0.3">
      <c r="C229" s="578"/>
      <c r="D229" s="578"/>
      <c r="E229" s="578"/>
      <c r="F229" s="578"/>
      <c r="G229" s="578"/>
      <c r="H229" s="578"/>
      <c r="I229" s="578"/>
    </row>
    <row r="230" spans="3:9" x14ac:dyDescent="0.3">
      <c r="C230" s="567"/>
      <c r="D230" s="567"/>
      <c r="E230" s="567"/>
      <c r="F230" s="567"/>
      <c r="G230" s="567"/>
      <c r="H230" s="567"/>
      <c r="I230" s="567"/>
    </row>
    <row r="231" spans="3:9" x14ac:dyDescent="0.3">
      <c r="C231" s="578"/>
      <c r="D231" s="578"/>
      <c r="E231" s="578"/>
      <c r="F231" s="578"/>
      <c r="G231" s="578"/>
      <c r="H231" s="578"/>
      <c r="I231" s="578"/>
    </row>
    <row r="239" spans="3:9" x14ac:dyDescent="0.3">
      <c r="D239" s="158"/>
    </row>
  </sheetData>
  <mergeCells count="203">
    <mergeCell ref="C1:I1"/>
    <mergeCell ref="D140:I140"/>
    <mergeCell ref="C167:I167"/>
    <mergeCell ref="C168:I168"/>
    <mergeCell ref="C177:I177"/>
    <mergeCell ref="C142:I142"/>
    <mergeCell ref="C12:I12"/>
    <mergeCell ref="D13:I13"/>
    <mergeCell ref="D14:I14"/>
    <mergeCell ref="D15:I15"/>
    <mergeCell ref="C16:I16"/>
    <mergeCell ref="C23:I23"/>
    <mergeCell ref="C6:I6"/>
    <mergeCell ref="C7:I7"/>
    <mergeCell ref="C8:I8"/>
    <mergeCell ref="C9:I9"/>
    <mergeCell ref="C10:I10"/>
    <mergeCell ref="C11:I11"/>
    <mergeCell ref="C19:I19"/>
    <mergeCell ref="D21:I21"/>
    <mergeCell ref="D169:I169"/>
    <mergeCell ref="D170:I170"/>
    <mergeCell ref="C152:I152"/>
    <mergeCell ref="D153:I153"/>
    <mergeCell ref="C17:I17"/>
    <mergeCell ref="C24:I24"/>
    <mergeCell ref="C25:I25"/>
    <mergeCell ref="C26:I26"/>
    <mergeCell ref="C31:I31"/>
    <mergeCell ref="C2:I2"/>
    <mergeCell ref="C3:I3"/>
    <mergeCell ref="C4:I4"/>
    <mergeCell ref="C5:I5"/>
    <mergeCell ref="C33:I33"/>
    <mergeCell ref="C34:I34"/>
    <mergeCell ref="C35:I35"/>
    <mergeCell ref="C36:I36"/>
    <mergeCell ref="C41:I41"/>
    <mergeCell ref="C40:I40"/>
    <mergeCell ref="C27:I27"/>
    <mergeCell ref="C28:I28"/>
    <mergeCell ref="C29:I29"/>
    <mergeCell ref="C30:I30"/>
    <mergeCell ref="C32:I32"/>
    <mergeCell ref="D88:I88"/>
    <mergeCell ref="D90:I90"/>
    <mergeCell ref="D87:I87"/>
    <mergeCell ref="C37:I37"/>
    <mergeCell ref="C38:I38"/>
    <mergeCell ref="C39:I39"/>
    <mergeCell ref="C42:I42"/>
    <mergeCell ref="C43:I43"/>
    <mergeCell ref="C45:I45"/>
    <mergeCell ref="C46:I46"/>
    <mergeCell ref="D49:I49"/>
    <mergeCell ref="D73:H73"/>
    <mergeCell ref="D79:I79"/>
    <mergeCell ref="D81:I81"/>
    <mergeCell ref="D84:I84"/>
    <mergeCell ref="D75:I75"/>
    <mergeCell ref="D86:I86"/>
    <mergeCell ref="D83:I83"/>
    <mergeCell ref="D80:I80"/>
    <mergeCell ref="D78:I78"/>
    <mergeCell ref="C82:I82"/>
    <mergeCell ref="D77:I77"/>
    <mergeCell ref="D51:F51"/>
    <mergeCell ref="D50:G50"/>
    <mergeCell ref="D97:I97"/>
    <mergeCell ref="D98:I98"/>
    <mergeCell ref="D99:I99"/>
    <mergeCell ref="D100:I100"/>
    <mergeCell ref="D101:I101"/>
    <mergeCell ref="D96:I96"/>
    <mergeCell ref="C91:I91"/>
    <mergeCell ref="D92:I92"/>
    <mergeCell ref="D93:I93"/>
    <mergeCell ref="D94:I94"/>
    <mergeCell ref="D95:I95"/>
    <mergeCell ref="D108:I108"/>
    <mergeCell ref="D109:I109"/>
    <mergeCell ref="D110:I110"/>
    <mergeCell ref="D111:I111"/>
    <mergeCell ref="C118:I118"/>
    <mergeCell ref="D113:I113"/>
    <mergeCell ref="D114:I114"/>
    <mergeCell ref="D115:I115"/>
    <mergeCell ref="D102:I102"/>
    <mergeCell ref="D103:I103"/>
    <mergeCell ref="D104:I104"/>
    <mergeCell ref="D105:I105"/>
    <mergeCell ref="D106:I106"/>
    <mergeCell ref="D107:I107"/>
    <mergeCell ref="D119:I119"/>
    <mergeCell ref="D120:I120"/>
    <mergeCell ref="D121:I121"/>
    <mergeCell ref="D122:I122"/>
    <mergeCell ref="D123:I123"/>
    <mergeCell ref="D125:I125"/>
    <mergeCell ref="D112:I112"/>
    <mergeCell ref="D116:I116"/>
    <mergeCell ref="D117:I117"/>
    <mergeCell ref="D130:I130"/>
    <mergeCell ref="D131:I131"/>
    <mergeCell ref="D132:I132"/>
    <mergeCell ref="D134:I134"/>
    <mergeCell ref="D135:I135"/>
    <mergeCell ref="D138:I138"/>
    <mergeCell ref="C137:I137"/>
    <mergeCell ref="D124:I124"/>
    <mergeCell ref="D126:I126"/>
    <mergeCell ref="D127:I127"/>
    <mergeCell ref="D128:I128"/>
    <mergeCell ref="D129:I129"/>
    <mergeCell ref="D159:I159"/>
    <mergeCell ref="D160:I160"/>
    <mergeCell ref="D161:I161"/>
    <mergeCell ref="D173:I173"/>
    <mergeCell ref="D162:I162"/>
    <mergeCell ref="D163:I163"/>
    <mergeCell ref="D171:I171"/>
    <mergeCell ref="D164:I164"/>
    <mergeCell ref="D136:I136"/>
    <mergeCell ref="D139:I139"/>
    <mergeCell ref="D143:I143"/>
    <mergeCell ref="D144:I144"/>
    <mergeCell ref="D145:I145"/>
    <mergeCell ref="D146:I146"/>
    <mergeCell ref="D147:I147"/>
    <mergeCell ref="D151:I151"/>
    <mergeCell ref="C148:I148"/>
    <mergeCell ref="D149:I149"/>
    <mergeCell ref="D150:I150"/>
    <mergeCell ref="D154:I154"/>
    <mergeCell ref="C155:I155"/>
    <mergeCell ref="D156:I156"/>
    <mergeCell ref="C158:I158"/>
    <mergeCell ref="D172:I172"/>
    <mergeCell ref="C202:I202"/>
    <mergeCell ref="D190:I190"/>
    <mergeCell ref="C205:C207"/>
    <mergeCell ref="D165:I165"/>
    <mergeCell ref="C181:I181"/>
    <mergeCell ref="C182:I182"/>
    <mergeCell ref="C192:I192"/>
    <mergeCell ref="D188:I188"/>
    <mergeCell ref="D189:I189"/>
    <mergeCell ref="D174:I174"/>
    <mergeCell ref="D180:I180"/>
    <mergeCell ref="D178:I178"/>
    <mergeCell ref="D195:I195"/>
    <mergeCell ref="D197:I197"/>
    <mergeCell ref="D196:I196"/>
    <mergeCell ref="D198:I198"/>
    <mergeCell ref="D185:I185"/>
    <mergeCell ref="D187:I187"/>
    <mergeCell ref="D186:I186"/>
    <mergeCell ref="D183:I183"/>
    <mergeCell ref="D166:I166"/>
    <mergeCell ref="D176:I176"/>
    <mergeCell ref="D179:I179"/>
    <mergeCell ref="D200:I200"/>
    <mergeCell ref="D203:I203"/>
    <mergeCell ref="C231:I231"/>
    <mergeCell ref="D224:I224"/>
    <mergeCell ref="C225:I225"/>
    <mergeCell ref="D226:I226"/>
    <mergeCell ref="D227:I227"/>
    <mergeCell ref="D228:I228"/>
    <mergeCell ref="D218:I218"/>
    <mergeCell ref="D219:I219"/>
    <mergeCell ref="D221:I221"/>
    <mergeCell ref="D220:I220"/>
    <mergeCell ref="C222:I222"/>
    <mergeCell ref="D223:I223"/>
    <mergeCell ref="C229:I229"/>
    <mergeCell ref="D204:I204"/>
    <mergeCell ref="D205:I205"/>
    <mergeCell ref="D206:I206"/>
    <mergeCell ref="D175:I175"/>
    <mergeCell ref="D89:I89"/>
    <mergeCell ref="D85:I85"/>
    <mergeCell ref="D76:I76"/>
    <mergeCell ref="D74:I74"/>
    <mergeCell ref="D72:I72"/>
    <mergeCell ref="D47:I47"/>
    <mergeCell ref="C230:I230"/>
    <mergeCell ref="D212:I212"/>
    <mergeCell ref="D213:I213"/>
    <mergeCell ref="D214:I214"/>
    <mergeCell ref="D216:I216"/>
    <mergeCell ref="C215:I215"/>
    <mergeCell ref="C217:I217"/>
    <mergeCell ref="D207:I207"/>
    <mergeCell ref="D208:I208"/>
    <mergeCell ref="D209:I209"/>
    <mergeCell ref="D210:I210"/>
    <mergeCell ref="C211:I211"/>
    <mergeCell ref="D191:I191"/>
    <mergeCell ref="D193:I193"/>
    <mergeCell ref="D194:I194"/>
    <mergeCell ref="D199:I199"/>
    <mergeCell ref="D184:I184"/>
  </mergeCells>
  <hyperlinks>
    <hyperlink ref="D50" r:id="rId1" xr:uid="{00000000-0004-0000-0100-000000000000}"/>
  </hyperlinks>
  <pageMargins left="0.70866141732283472" right="0.70866141732283472" top="0.74803149606299213" bottom="0.74803149606299213" header="0.31496062992125984" footer="0.31496062992125984"/>
  <pageSetup paperSize="9" scale="84" fitToHeight="0" orientation="landscape" r:id="rId2"/>
  <headerFooter>
    <oddHeader>&amp;C&amp;"Arial,Bold"&amp;12GUIDANCE FOR COMPLETING THE ANNUAL LIBRARY SERVICES STATISTICAL RETURN  2019-20 PART 2</oddHeader>
    <oddFooter>&amp;L&amp;F&amp;C&amp;A&amp;R&amp;P of &amp;N</oddFooter>
  </headerFooter>
  <rowBreaks count="5" manualBreakCount="5">
    <brk id="37" min="2" max="8" man="1"/>
    <brk id="73" min="2" max="8" man="1"/>
    <brk id="110" min="2" max="8" man="1"/>
    <brk id="180" min="2" max="8" man="1"/>
    <brk id="201" min="2" max="8" man="1"/>
  </rowBreaks>
  <ignoredErrors>
    <ignoredError sqref="C52 C54 C56 C58 C60 C62 C64 C67 C69 C125:C126 C128:C133 C154 C159 C150" numberStoredAsText="1"/>
  </ignoredError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5927C-891E-454D-A60C-A4E824F2B3BD}">
  <dimension ref="A1:Y34"/>
  <sheetViews>
    <sheetView workbookViewId="0">
      <selection activeCell="D6" sqref="D6"/>
    </sheetView>
  </sheetViews>
  <sheetFormatPr defaultRowHeight="12.5" x14ac:dyDescent="0.25"/>
  <cols>
    <col min="1" max="1" width="22.26953125" bestFit="1" customWidth="1"/>
    <col min="3" max="3" width="25.7265625" style="414" customWidth="1"/>
    <col min="5" max="5" width="25.7265625" style="415" customWidth="1"/>
    <col min="7" max="7" width="25.7265625" style="414" customWidth="1"/>
    <col min="9" max="9" width="25.7265625" style="414" customWidth="1"/>
    <col min="11" max="11" width="25.7265625" style="415" customWidth="1"/>
    <col min="13" max="13" width="25.7265625" style="415" customWidth="1"/>
    <col min="15" max="15" width="25.7265625" style="414" customWidth="1"/>
    <col min="17" max="17" width="25.7265625" style="414" customWidth="1"/>
    <col min="18" max="18" width="9.1796875" customWidth="1"/>
    <col min="19" max="19" width="25.7265625" style="414" customWidth="1"/>
    <col min="21" max="21" width="25.7265625" style="414" customWidth="1"/>
    <col min="22" max="22" width="9.1796875" customWidth="1"/>
    <col min="23" max="23" width="25.7265625" style="414" customWidth="1"/>
  </cols>
  <sheetData>
    <row r="1" spans="1:25" x14ac:dyDescent="0.25">
      <c r="A1" t="s">
        <v>714</v>
      </c>
      <c r="B1" s="243"/>
      <c r="C1" s="411" t="s">
        <v>715</v>
      </c>
      <c r="D1" s="412"/>
      <c r="E1" s="413" t="s">
        <v>716</v>
      </c>
      <c r="F1" s="412"/>
      <c r="G1" s="411" t="s">
        <v>717</v>
      </c>
      <c r="H1" s="412"/>
      <c r="I1" s="411" t="s">
        <v>718</v>
      </c>
      <c r="J1" s="412"/>
      <c r="K1" s="413" t="s">
        <v>719</v>
      </c>
      <c r="L1" s="412"/>
      <c r="M1" s="413" t="s">
        <v>720</v>
      </c>
      <c r="N1" s="412"/>
      <c r="O1" s="411" t="s">
        <v>721</v>
      </c>
      <c r="P1" s="412"/>
      <c r="Q1" s="411" t="s">
        <v>722</v>
      </c>
      <c r="R1" s="412"/>
      <c r="S1" s="411" t="s">
        <v>723</v>
      </c>
      <c r="T1" s="412"/>
      <c r="U1" s="411" t="s">
        <v>724</v>
      </c>
      <c r="V1" s="412"/>
      <c r="W1" s="411" t="s">
        <v>725</v>
      </c>
      <c r="X1" s="243"/>
      <c r="Y1" s="243"/>
    </row>
    <row r="2" spans="1:25" ht="37.5" x14ac:dyDescent="0.25">
      <c r="A2" t="s">
        <v>726</v>
      </c>
      <c r="B2" s="243"/>
      <c r="C2" s="414" t="s">
        <v>727</v>
      </c>
      <c r="E2" s="415" t="s">
        <v>728</v>
      </c>
      <c r="G2" s="414" t="s">
        <v>729</v>
      </c>
      <c r="I2" s="414" t="s">
        <v>730</v>
      </c>
      <c r="K2" s="415" t="s">
        <v>731</v>
      </c>
      <c r="M2" s="414" t="s">
        <v>732</v>
      </c>
      <c r="O2" s="414" t="s">
        <v>733</v>
      </c>
      <c r="Q2" s="414" t="s">
        <v>734</v>
      </c>
      <c r="S2" s="414" t="s">
        <v>735</v>
      </c>
      <c r="U2" s="414" t="s">
        <v>736</v>
      </c>
      <c r="W2" s="414" t="s">
        <v>737</v>
      </c>
    </row>
    <row r="3" spans="1:25" ht="37.5" x14ac:dyDescent="0.25">
      <c r="A3" t="s">
        <v>738</v>
      </c>
      <c r="C3" s="414" t="s">
        <v>739</v>
      </c>
      <c r="E3" s="415" t="s">
        <v>740</v>
      </c>
      <c r="G3" s="414" t="s">
        <v>741</v>
      </c>
      <c r="I3" s="414" t="s">
        <v>742</v>
      </c>
      <c r="K3" s="415" t="s">
        <v>743</v>
      </c>
      <c r="M3" s="415" t="s">
        <v>744</v>
      </c>
      <c r="O3" s="414" t="s">
        <v>735</v>
      </c>
      <c r="Q3" s="414" t="s">
        <v>745</v>
      </c>
      <c r="S3" s="414" t="s">
        <v>746</v>
      </c>
      <c r="U3" s="414" t="s">
        <v>747</v>
      </c>
      <c r="W3" s="414" t="s">
        <v>748</v>
      </c>
    </row>
    <row r="4" spans="1:25" ht="37.5" x14ac:dyDescent="0.25">
      <c r="A4" t="s">
        <v>749</v>
      </c>
      <c r="C4" s="414" t="s">
        <v>750</v>
      </c>
      <c r="E4" s="415" t="s">
        <v>751</v>
      </c>
      <c r="G4" s="414" t="s">
        <v>752</v>
      </c>
      <c r="I4" s="414" t="s">
        <v>753</v>
      </c>
      <c r="K4" s="415" t="s">
        <v>754</v>
      </c>
      <c r="M4" s="415" t="s">
        <v>755</v>
      </c>
      <c r="O4" s="414" t="s">
        <v>756</v>
      </c>
      <c r="Q4" s="414" t="s">
        <v>757</v>
      </c>
      <c r="S4" s="414" t="s">
        <v>758</v>
      </c>
      <c r="U4" s="414" t="s">
        <v>759</v>
      </c>
      <c r="W4" s="414" t="s">
        <v>760</v>
      </c>
    </row>
    <row r="5" spans="1:25" ht="37.5" x14ac:dyDescent="0.25">
      <c r="A5" t="s">
        <v>718</v>
      </c>
      <c r="C5" s="414" t="s">
        <v>761</v>
      </c>
      <c r="E5" s="415" t="s">
        <v>762</v>
      </c>
      <c r="G5" s="414" t="s">
        <v>763</v>
      </c>
      <c r="I5" s="414" t="s">
        <v>764</v>
      </c>
      <c r="K5" s="415" t="s">
        <v>765</v>
      </c>
      <c r="M5" s="415" t="s">
        <v>766</v>
      </c>
      <c r="O5" s="414" t="s">
        <v>767</v>
      </c>
      <c r="Q5" s="414" t="s">
        <v>757</v>
      </c>
      <c r="S5" s="414" t="s">
        <v>768</v>
      </c>
      <c r="U5" s="414" t="s">
        <v>769</v>
      </c>
      <c r="W5" s="414" t="s">
        <v>770</v>
      </c>
    </row>
    <row r="6" spans="1:25" ht="37.5" x14ac:dyDescent="0.25">
      <c r="A6" t="s">
        <v>771</v>
      </c>
      <c r="C6" s="414" t="s">
        <v>772</v>
      </c>
      <c r="E6" s="415" t="s">
        <v>773</v>
      </c>
      <c r="G6" s="414" t="s">
        <v>774</v>
      </c>
      <c r="I6" s="414" t="s">
        <v>775</v>
      </c>
      <c r="K6" s="415" t="s">
        <v>776</v>
      </c>
      <c r="M6" s="415" t="s">
        <v>777</v>
      </c>
      <c r="O6" s="414" t="s">
        <v>778</v>
      </c>
      <c r="Q6" s="414" t="s">
        <v>779</v>
      </c>
      <c r="S6" s="414" t="s">
        <v>780</v>
      </c>
      <c r="U6" s="414" t="s">
        <v>781</v>
      </c>
      <c r="W6" s="414" t="s">
        <v>782</v>
      </c>
    </row>
    <row r="7" spans="1:25" ht="37.5" x14ac:dyDescent="0.25">
      <c r="A7" t="s">
        <v>783</v>
      </c>
      <c r="C7" s="414" t="s">
        <v>784</v>
      </c>
      <c r="E7" s="415" t="s">
        <v>785</v>
      </c>
      <c r="G7" s="414" t="s">
        <v>786</v>
      </c>
      <c r="I7" s="414" t="s">
        <v>787</v>
      </c>
      <c r="K7" s="415" t="s">
        <v>788</v>
      </c>
      <c r="M7" s="415" t="s">
        <v>789</v>
      </c>
      <c r="O7" s="414" t="s">
        <v>790</v>
      </c>
      <c r="Q7" s="414" t="s">
        <v>791</v>
      </c>
      <c r="U7" s="414" t="s">
        <v>792</v>
      </c>
      <c r="W7" s="414" t="s">
        <v>793</v>
      </c>
    </row>
    <row r="8" spans="1:25" ht="25" x14ac:dyDescent="0.25">
      <c r="A8" t="s">
        <v>794</v>
      </c>
      <c r="C8" s="414" t="s">
        <v>795</v>
      </c>
      <c r="E8" s="415" t="s">
        <v>796</v>
      </c>
      <c r="G8" s="414" t="s">
        <v>797</v>
      </c>
      <c r="I8" s="414" t="s">
        <v>798</v>
      </c>
      <c r="K8" s="415" t="s">
        <v>799</v>
      </c>
      <c r="M8" s="415" t="s">
        <v>800</v>
      </c>
      <c r="O8" s="414" t="s">
        <v>801</v>
      </c>
      <c r="Q8" s="414" t="s">
        <v>802</v>
      </c>
      <c r="U8" s="414" t="s">
        <v>803</v>
      </c>
      <c r="W8" s="414" t="s">
        <v>804</v>
      </c>
    </row>
    <row r="9" spans="1:25" ht="37.5" x14ac:dyDescent="0.25">
      <c r="A9" t="s">
        <v>805</v>
      </c>
      <c r="C9" s="414" t="s">
        <v>806</v>
      </c>
      <c r="E9" s="415" t="s">
        <v>807</v>
      </c>
      <c r="G9" s="414" t="s">
        <v>808</v>
      </c>
      <c r="I9" s="414" t="s">
        <v>809</v>
      </c>
      <c r="K9" s="415" t="s">
        <v>810</v>
      </c>
      <c r="M9" s="415" t="s">
        <v>811</v>
      </c>
      <c r="O9" s="414" t="s">
        <v>812</v>
      </c>
      <c r="Q9" s="414" t="s">
        <v>813</v>
      </c>
      <c r="U9" s="414" t="s">
        <v>814</v>
      </c>
      <c r="W9" s="414" t="s">
        <v>815</v>
      </c>
    </row>
    <row r="10" spans="1:25" ht="37.5" x14ac:dyDescent="0.25">
      <c r="A10" t="s">
        <v>723</v>
      </c>
      <c r="C10" s="414" t="s">
        <v>816</v>
      </c>
      <c r="E10" s="415" t="s">
        <v>817</v>
      </c>
      <c r="G10" s="414" t="s">
        <v>818</v>
      </c>
      <c r="I10" s="414" t="s">
        <v>819</v>
      </c>
      <c r="K10" s="415" t="s">
        <v>820</v>
      </c>
      <c r="M10" s="415" t="s">
        <v>821</v>
      </c>
      <c r="O10" s="414" t="s">
        <v>822</v>
      </c>
      <c r="U10" s="414" t="s">
        <v>823</v>
      </c>
      <c r="W10" s="414" t="s">
        <v>824</v>
      </c>
    </row>
    <row r="11" spans="1:25" ht="25" x14ac:dyDescent="0.25">
      <c r="A11" t="s">
        <v>825</v>
      </c>
      <c r="C11" s="414" t="s">
        <v>826</v>
      </c>
      <c r="E11" s="415" t="s">
        <v>827</v>
      </c>
      <c r="G11" s="414" t="s">
        <v>828</v>
      </c>
      <c r="I11" s="414" t="s">
        <v>829</v>
      </c>
      <c r="K11" s="415" t="s">
        <v>830</v>
      </c>
      <c r="M11" s="415" t="s">
        <v>831</v>
      </c>
      <c r="O11" s="414" t="s">
        <v>832</v>
      </c>
      <c r="U11" s="414" t="s">
        <v>833</v>
      </c>
      <c r="W11" s="414" t="s">
        <v>834</v>
      </c>
    </row>
    <row r="12" spans="1:25" ht="37.5" x14ac:dyDescent="0.25">
      <c r="A12" t="s">
        <v>835</v>
      </c>
      <c r="E12" s="415" t="s">
        <v>836</v>
      </c>
      <c r="G12" s="414" t="s">
        <v>837</v>
      </c>
      <c r="I12" s="414" t="s">
        <v>838</v>
      </c>
      <c r="M12" s="415" t="s">
        <v>839</v>
      </c>
      <c r="O12" s="414" t="s">
        <v>840</v>
      </c>
      <c r="U12" s="414" t="s">
        <v>841</v>
      </c>
      <c r="W12" s="414" t="s">
        <v>842</v>
      </c>
    </row>
    <row r="13" spans="1:25" ht="25" x14ac:dyDescent="0.25">
      <c r="E13" s="415" t="s">
        <v>843</v>
      </c>
      <c r="I13" s="414" t="s">
        <v>844</v>
      </c>
      <c r="M13" s="415" t="s">
        <v>839</v>
      </c>
      <c r="O13" s="414" t="s">
        <v>845</v>
      </c>
      <c r="U13" s="414" t="s">
        <v>846</v>
      </c>
      <c r="W13" s="414" t="s">
        <v>847</v>
      </c>
    </row>
    <row r="14" spans="1:25" ht="25" x14ac:dyDescent="0.25">
      <c r="E14" s="415" t="s">
        <v>848</v>
      </c>
      <c r="I14" s="414" t="s">
        <v>849</v>
      </c>
      <c r="M14" s="415" t="s">
        <v>850</v>
      </c>
      <c r="O14" s="414" t="s">
        <v>851</v>
      </c>
      <c r="U14" s="414" t="s">
        <v>852</v>
      </c>
      <c r="W14" s="414" t="s">
        <v>853</v>
      </c>
    </row>
    <row r="15" spans="1:25" ht="25" x14ac:dyDescent="0.25">
      <c r="E15" s="415" t="s">
        <v>854</v>
      </c>
      <c r="I15" s="414" t="s">
        <v>855</v>
      </c>
      <c r="M15" s="415" t="s">
        <v>856</v>
      </c>
      <c r="O15" s="414" t="s">
        <v>857</v>
      </c>
      <c r="U15" s="414" t="s">
        <v>858</v>
      </c>
      <c r="W15" s="414" t="s">
        <v>859</v>
      </c>
    </row>
    <row r="16" spans="1:25" ht="37.5" x14ac:dyDescent="0.25">
      <c r="E16" s="415" t="s">
        <v>860</v>
      </c>
      <c r="I16" s="414" t="s">
        <v>861</v>
      </c>
      <c r="M16" s="415" t="s">
        <v>862</v>
      </c>
      <c r="O16" s="414" t="s">
        <v>863</v>
      </c>
      <c r="U16" s="414" t="s">
        <v>864</v>
      </c>
      <c r="W16" s="414" t="s">
        <v>865</v>
      </c>
    </row>
    <row r="17" spans="5:23" ht="25" x14ac:dyDescent="0.25">
      <c r="E17" s="415" t="s">
        <v>866</v>
      </c>
      <c r="I17" s="414" t="s">
        <v>867</v>
      </c>
      <c r="M17" s="415" t="s">
        <v>868</v>
      </c>
      <c r="O17" s="414" t="s">
        <v>869</v>
      </c>
      <c r="U17" s="414" t="s">
        <v>870</v>
      </c>
      <c r="W17" s="414" t="s">
        <v>871</v>
      </c>
    </row>
    <row r="18" spans="5:23" ht="37.5" x14ac:dyDescent="0.25">
      <c r="E18" s="415" t="s">
        <v>872</v>
      </c>
      <c r="I18" s="414" t="s">
        <v>873</v>
      </c>
      <c r="M18" s="415" t="s">
        <v>874</v>
      </c>
      <c r="U18" s="414" t="s">
        <v>875</v>
      </c>
      <c r="W18" s="414" t="s">
        <v>876</v>
      </c>
    </row>
    <row r="19" spans="5:23" ht="25" x14ac:dyDescent="0.25">
      <c r="I19" s="414" t="s">
        <v>877</v>
      </c>
      <c r="M19" s="415" t="s">
        <v>878</v>
      </c>
      <c r="U19" s="414" t="s">
        <v>879</v>
      </c>
      <c r="W19" s="414" t="s">
        <v>880</v>
      </c>
    </row>
    <row r="20" spans="5:23" ht="25" x14ac:dyDescent="0.25">
      <c r="I20" s="414" t="s">
        <v>881</v>
      </c>
      <c r="M20" s="415" t="s">
        <v>882</v>
      </c>
      <c r="U20" s="414" t="s">
        <v>883</v>
      </c>
    </row>
    <row r="21" spans="5:23" ht="25" x14ac:dyDescent="0.25">
      <c r="I21" s="414" t="s">
        <v>884</v>
      </c>
      <c r="M21" s="415" t="s">
        <v>885</v>
      </c>
      <c r="U21" s="414" t="s">
        <v>886</v>
      </c>
    </row>
    <row r="22" spans="5:23" ht="37.5" x14ac:dyDescent="0.25">
      <c r="I22" s="414" t="s">
        <v>887</v>
      </c>
      <c r="M22" s="415" t="s">
        <v>888</v>
      </c>
      <c r="U22" s="414" t="s">
        <v>889</v>
      </c>
    </row>
    <row r="23" spans="5:23" ht="25" x14ac:dyDescent="0.25">
      <c r="I23" s="414" t="s">
        <v>890</v>
      </c>
      <c r="M23" s="415" t="s">
        <v>891</v>
      </c>
      <c r="U23" s="414" t="s">
        <v>892</v>
      </c>
    </row>
    <row r="24" spans="5:23" ht="25" x14ac:dyDescent="0.25">
      <c r="I24" s="414" t="s">
        <v>893</v>
      </c>
      <c r="M24" s="415" t="s">
        <v>894</v>
      </c>
    </row>
    <row r="25" spans="5:23" ht="25" x14ac:dyDescent="0.25">
      <c r="I25" s="414" t="s">
        <v>895</v>
      </c>
      <c r="M25" s="415" t="s">
        <v>896</v>
      </c>
    </row>
    <row r="26" spans="5:23" ht="25" x14ac:dyDescent="0.25">
      <c r="I26" s="414" t="s">
        <v>897</v>
      </c>
      <c r="M26" s="415" t="s">
        <v>898</v>
      </c>
    </row>
    <row r="27" spans="5:23" ht="37.5" x14ac:dyDescent="0.25">
      <c r="I27" s="414" t="s">
        <v>899</v>
      </c>
      <c r="M27" s="415" t="s">
        <v>900</v>
      </c>
    </row>
    <row r="28" spans="5:23" ht="37.5" x14ac:dyDescent="0.25">
      <c r="I28" s="414" t="s">
        <v>901</v>
      </c>
      <c r="M28" s="415" t="s">
        <v>902</v>
      </c>
    </row>
    <row r="29" spans="5:23" ht="37.5" x14ac:dyDescent="0.25">
      <c r="I29" s="414" t="s">
        <v>903</v>
      </c>
      <c r="M29" s="415" t="s">
        <v>904</v>
      </c>
    </row>
    <row r="30" spans="5:23" ht="37.5" x14ac:dyDescent="0.25">
      <c r="I30" s="414" t="s">
        <v>905</v>
      </c>
      <c r="M30" s="415" t="s">
        <v>906</v>
      </c>
    </row>
    <row r="31" spans="5:23" ht="37.5" x14ac:dyDescent="0.25">
      <c r="I31" s="414" t="s">
        <v>907</v>
      </c>
      <c r="M31" s="415" t="s">
        <v>908</v>
      </c>
    </row>
    <row r="32" spans="5:23" ht="37.5" x14ac:dyDescent="0.25">
      <c r="I32" s="414" t="s">
        <v>909</v>
      </c>
      <c r="M32" s="415" t="s">
        <v>910</v>
      </c>
    </row>
    <row r="33" spans="13:13" ht="25" x14ac:dyDescent="0.25">
      <c r="M33" s="415" t="s">
        <v>911</v>
      </c>
    </row>
    <row r="34" spans="13:13" ht="25" x14ac:dyDescent="0.25">
      <c r="M34" s="415" t="s">
        <v>912</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S203"/>
  <sheetViews>
    <sheetView showGridLines="0" topLeftCell="A31" zoomScaleNormal="100" workbookViewId="0">
      <selection activeCell="C48" sqref="C48"/>
    </sheetView>
  </sheetViews>
  <sheetFormatPr defaultColWidth="9.26953125" defaultRowHeight="13" x14ac:dyDescent="0.3"/>
  <cols>
    <col min="1" max="1" width="9.453125" style="2" customWidth="1"/>
    <col min="5" max="5" width="16.54296875" customWidth="1"/>
    <col min="6" max="6" width="8" customWidth="1"/>
    <col min="7" max="7" width="11.7265625" customWidth="1"/>
    <col min="8" max="8" width="14.26953125" customWidth="1"/>
    <col min="9" max="9" width="6.453125" customWidth="1"/>
    <col min="10" max="10" width="16" style="93" bestFit="1" customWidth="1"/>
    <col min="11" max="11" width="4.26953125" style="93" customWidth="1"/>
    <col min="12" max="12" width="10.453125" style="93" hidden="1" customWidth="1"/>
    <col min="13" max="13" width="13.26953125" style="93" hidden="1" customWidth="1"/>
  </cols>
  <sheetData>
    <row r="1" spans="1:19" x14ac:dyDescent="0.3">
      <c r="E1" s="92" t="s">
        <v>913</v>
      </c>
      <c r="F1" s="93"/>
      <c r="G1" s="93"/>
      <c r="H1" s="93"/>
      <c r="P1" s="340"/>
      <c r="R1" s="383"/>
      <c r="S1" s="243"/>
    </row>
    <row r="2" spans="1:19" ht="14" thickBot="1" x14ac:dyDescent="0.4">
      <c r="A2" s="58" t="s">
        <v>914</v>
      </c>
      <c r="E2" s="94"/>
      <c r="F2" s="93"/>
      <c r="G2" s="93"/>
      <c r="H2" s="92"/>
      <c r="S2" s="382"/>
    </row>
    <row r="3" spans="1:19" ht="13.5" thickBot="1" x14ac:dyDescent="0.35">
      <c r="A3" s="70" t="s">
        <v>715</v>
      </c>
      <c r="E3" s="378" t="s">
        <v>915</v>
      </c>
      <c r="F3" s="379" t="s">
        <v>916</v>
      </c>
      <c r="G3" s="380" t="s">
        <v>41</v>
      </c>
      <c r="H3" s="381" t="s">
        <v>31</v>
      </c>
      <c r="P3" s="92"/>
      <c r="Q3" s="92"/>
      <c r="S3" s="92"/>
    </row>
    <row r="4" spans="1:19" x14ac:dyDescent="0.3">
      <c r="A4" s="70" t="s">
        <v>716</v>
      </c>
      <c r="E4" s="375" t="s">
        <v>917</v>
      </c>
      <c r="F4" s="376"/>
      <c r="G4" s="376">
        <v>43637</v>
      </c>
      <c r="H4" s="377" t="s">
        <v>918</v>
      </c>
    </row>
    <row r="5" spans="1:19" ht="12.75" customHeight="1" x14ac:dyDescent="0.3">
      <c r="A5" s="70" t="s">
        <v>717</v>
      </c>
      <c r="E5" s="372" t="s">
        <v>919</v>
      </c>
      <c r="F5" s="376"/>
      <c r="G5" s="376">
        <v>43637</v>
      </c>
      <c r="H5" s="377" t="s">
        <v>918</v>
      </c>
    </row>
    <row r="6" spans="1:19" x14ac:dyDescent="0.3">
      <c r="A6" s="70" t="s">
        <v>718</v>
      </c>
      <c r="E6" s="372" t="s">
        <v>920</v>
      </c>
      <c r="F6" s="376"/>
      <c r="G6" s="376">
        <v>43637</v>
      </c>
      <c r="H6" s="377" t="s">
        <v>918</v>
      </c>
    </row>
    <row r="7" spans="1:19" x14ac:dyDescent="0.3">
      <c r="A7" s="70" t="s">
        <v>719</v>
      </c>
      <c r="E7" s="372" t="s">
        <v>921</v>
      </c>
      <c r="F7" s="376"/>
      <c r="G7" s="376">
        <v>43637</v>
      </c>
      <c r="H7" s="377" t="s">
        <v>918</v>
      </c>
    </row>
    <row r="8" spans="1:19" x14ac:dyDescent="0.3">
      <c r="A8" s="70" t="s">
        <v>720</v>
      </c>
      <c r="E8" s="372" t="s">
        <v>922</v>
      </c>
      <c r="F8" s="376"/>
      <c r="G8" s="376">
        <v>43637</v>
      </c>
      <c r="H8" s="377" t="s">
        <v>918</v>
      </c>
    </row>
    <row r="9" spans="1:19" x14ac:dyDescent="0.3">
      <c r="A9" s="70" t="s">
        <v>721</v>
      </c>
      <c r="E9" s="372" t="s">
        <v>923</v>
      </c>
      <c r="F9" s="376"/>
      <c r="G9" s="376">
        <v>43637</v>
      </c>
      <c r="H9" s="377" t="s">
        <v>918</v>
      </c>
    </row>
    <row r="10" spans="1:19" x14ac:dyDescent="0.3">
      <c r="A10" s="70" t="s">
        <v>924</v>
      </c>
      <c r="E10" s="373" t="s">
        <v>925</v>
      </c>
      <c r="F10" s="376"/>
      <c r="G10" s="376">
        <v>43637</v>
      </c>
      <c r="H10" s="377" t="s">
        <v>918</v>
      </c>
    </row>
    <row r="11" spans="1:19" x14ac:dyDescent="0.3">
      <c r="A11" s="70" t="s">
        <v>724</v>
      </c>
      <c r="E11" s="372" t="s">
        <v>17</v>
      </c>
      <c r="F11" s="376"/>
      <c r="G11" s="376">
        <v>43637</v>
      </c>
      <c r="H11" s="377" t="s">
        <v>918</v>
      </c>
    </row>
    <row r="12" spans="1:19" ht="13.5" thickBot="1" x14ac:dyDescent="0.35">
      <c r="A12" s="70" t="s">
        <v>725</v>
      </c>
      <c r="E12" s="374"/>
      <c r="F12" s="371"/>
      <c r="G12" s="369"/>
      <c r="H12" s="370"/>
    </row>
    <row r="13" spans="1:19" x14ac:dyDescent="0.3">
      <c r="E13" s="93"/>
      <c r="F13" s="93"/>
      <c r="G13" s="93"/>
      <c r="H13" s="93"/>
    </row>
    <row r="14" spans="1:19" x14ac:dyDescent="0.3">
      <c r="A14" s="58" t="s">
        <v>926</v>
      </c>
      <c r="E14" s="93"/>
      <c r="F14" s="93"/>
      <c r="G14" s="93"/>
      <c r="H14" s="93"/>
    </row>
    <row r="15" spans="1:19" x14ac:dyDescent="0.3">
      <c r="A15" s="57" t="s">
        <v>927</v>
      </c>
      <c r="E15" s="93"/>
      <c r="F15" s="93"/>
      <c r="G15" s="93"/>
      <c r="H15" s="93"/>
    </row>
    <row r="16" spans="1:19" x14ac:dyDescent="0.3">
      <c r="A16" s="57" t="s">
        <v>928</v>
      </c>
      <c r="E16" s="93" t="s">
        <v>929</v>
      </c>
      <c r="F16" s="93" t="s">
        <v>930</v>
      </c>
      <c r="G16" s="93"/>
      <c r="H16" s="93"/>
    </row>
    <row r="17" spans="1:8" x14ac:dyDescent="0.3">
      <c r="A17" s="57" t="s">
        <v>931</v>
      </c>
      <c r="E17" s="93"/>
      <c r="F17" s="93" t="s">
        <v>932</v>
      </c>
      <c r="G17" s="93"/>
      <c r="H17" s="93"/>
    </row>
    <row r="18" spans="1:8" x14ac:dyDescent="0.3">
      <c r="A18" s="57" t="s">
        <v>933</v>
      </c>
      <c r="E18" s="93"/>
      <c r="F18" s="93" t="s">
        <v>934</v>
      </c>
      <c r="G18" s="93"/>
      <c r="H18" s="93"/>
    </row>
    <row r="19" spans="1:8" x14ac:dyDescent="0.3">
      <c r="E19" s="93"/>
      <c r="F19" s="93" t="s">
        <v>935</v>
      </c>
      <c r="G19" s="93"/>
      <c r="H19" s="93"/>
    </row>
    <row r="20" spans="1:8" x14ac:dyDescent="0.3">
      <c r="A20" s="58" t="s">
        <v>936</v>
      </c>
    </row>
    <row r="21" spans="1:8" x14ac:dyDescent="0.3">
      <c r="A21" s="57" t="s">
        <v>937</v>
      </c>
    </row>
    <row r="22" spans="1:8" x14ac:dyDescent="0.3">
      <c r="A22" s="57" t="s">
        <v>938</v>
      </c>
    </row>
    <row r="23" spans="1:8" x14ac:dyDescent="0.3">
      <c r="A23" s="57" t="s">
        <v>939</v>
      </c>
    </row>
    <row r="24" spans="1:8" x14ac:dyDescent="0.3">
      <c r="A24" s="57" t="s">
        <v>940</v>
      </c>
    </row>
    <row r="25" spans="1:8" x14ac:dyDescent="0.3">
      <c r="A25" s="57" t="s">
        <v>941</v>
      </c>
    </row>
    <row r="26" spans="1:8" x14ac:dyDescent="0.3">
      <c r="A26" s="57" t="s">
        <v>942</v>
      </c>
    </row>
    <row r="27" spans="1:8" x14ac:dyDescent="0.3">
      <c r="A27" s="57" t="s">
        <v>943</v>
      </c>
    </row>
    <row r="28" spans="1:8" x14ac:dyDescent="0.3">
      <c r="A28" s="57" t="s">
        <v>944</v>
      </c>
    </row>
    <row r="29" spans="1:8" x14ac:dyDescent="0.3">
      <c r="A29" s="57" t="s">
        <v>945</v>
      </c>
    </row>
    <row r="30" spans="1:8" x14ac:dyDescent="0.3">
      <c r="A30" s="57" t="s">
        <v>946</v>
      </c>
    </row>
    <row r="31" spans="1:8" x14ac:dyDescent="0.3">
      <c r="A31" s="57" t="s">
        <v>947</v>
      </c>
    </row>
    <row r="32" spans="1:8" x14ac:dyDescent="0.3">
      <c r="A32" s="57" t="s">
        <v>948</v>
      </c>
    </row>
    <row r="33" spans="1:1" x14ac:dyDescent="0.3">
      <c r="A33" s="57" t="s">
        <v>949</v>
      </c>
    </row>
    <row r="34" spans="1:1" x14ac:dyDescent="0.3">
      <c r="A34" s="57" t="s">
        <v>950</v>
      </c>
    </row>
    <row r="35" spans="1:1" x14ac:dyDescent="0.3">
      <c r="A35" s="57" t="s">
        <v>951</v>
      </c>
    </row>
    <row r="36" spans="1:1" x14ac:dyDescent="0.3">
      <c r="A36" s="57" t="s">
        <v>952</v>
      </c>
    </row>
    <row r="37" spans="1:1" x14ac:dyDescent="0.3">
      <c r="A37" s="57" t="s">
        <v>953</v>
      </c>
    </row>
    <row r="38" spans="1:1" x14ac:dyDescent="0.3">
      <c r="A38" s="57" t="s">
        <v>954</v>
      </c>
    </row>
    <row r="39" spans="1:1" x14ac:dyDescent="0.3">
      <c r="A39" s="57" t="s">
        <v>955</v>
      </c>
    </row>
    <row r="40" spans="1:1" x14ac:dyDescent="0.3">
      <c r="A40" s="57" t="s">
        <v>956</v>
      </c>
    </row>
    <row r="41" spans="1:1" x14ac:dyDescent="0.3">
      <c r="A41" s="57" t="s">
        <v>957</v>
      </c>
    </row>
    <row r="42" spans="1:1" x14ac:dyDescent="0.3">
      <c r="A42" s="11"/>
    </row>
    <row r="43" spans="1:1" x14ac:dyDescent="0.3">
      <c r="A43" s="69" t="s">
        <v>958</v>
      </c>
    </row>
    <row r="44" spans="1:1" x14ac:dyDescent="0.3">
      <c r="A44" s="70" t="s">
        <v>959</v>
      </c>
    </row>
    <row r="45" spans="1:1" x14ac:dyDescent="0.3">
      <c r="A45" s="11"/>
    </row>
    <row r="46" spans="1:1" x14ac:dyDescent="0.3">
      <c r="A46" s="11"/>
    </row>
    <row r="47" spans="1:1" x14ac:dyDescent="0.3">
      <c r="A47" s="11"/>
    </row>
    <row r="52" spans="1:1" x14ac:dyDescent="0.3">
      <c r="A52" s="32"/>
    </row>
    <row r="53" spans="1:1" x14ac:dyDescent="0.3">
      <c r="A53" s="32"/>
    </row>
    <row r="54" spans="1:1" x14ac:dyDescent="0.3">
      <c r="A54" s="11"/>
    </row>
    <row r="55" spans="1:1" x14ac:dyDescent="0.3">
      <c r="A55" s="11"/>
    </row>
    <row r="56" spans="1:1" x14ac:dyDescent="0.3">
      <c r="A56" s="11"/>
    </row>
    <row r="57" spans="1:1" x14ac:dyDescent="0.3">
      <c r="A57" s="11"/>
    </row>
    <row r="58" spans="1:1" x14ac:dyDescent="0.3">
      <c r="A58" s="11"/>
    </row>
    <row r="59" spans="1:1" x14ac:dyDescent="0.3">
      <c r="A59" s="11"/>
    </row>
    <row r="60" spans="1:1" x14ac:dyDescent="0.3">
      <c r="A60" s="11"/>
    </row>
    <row r="61" spans="1:1" x14ac:dyDescent="0.3">
      <c r="A61" s="11"/>
    </row>
    <row r="62" spans="1:1" x14ac:dyDescent="0.3">
      <c r="A62" s="11"/>
    </row>
    <row r="63" spans="1:1" x14ac:dyDescent="0.3">
      <c r="A63" s="11"/>
    </row>
    <row r="64" spans="1:1" x14ac:dyDescent="0.3">
      <c r="A64" s="11"/>
    </row>
    <row r="65" spans="1:1" x14ac:dyDescent="0.3">
      <c r="A65" s="11"/>
    </row>
    <row r="66" spans="1:1" x14ac:dyDescent="0.3">
      <c r="A66" s="11"/>
    </row>
    <row r="67" spans="1:1" x14ac:dyDescent="0.3">
      <c r="A67" s="11"/>
    </row>
    <row r="68" spans="1:1" x14ac:dyDescent="0.3">
      <c r="A68" s="11"/>
    </row>
    <row r="69" spans="1:1" x14ac:dyDescent="0.3">
      <c r="A69" s="11"/>
    </row>
    <row r="70" spans="1:1" x14ac:dyDescent="0.3">
      <c r="A70" s="11"/>
    </row>
    <row r="71" spans="1:1" x14ac:dyDescent="0.3">
      <c r="A71" s="11"/>
    </row>
    <row r="72" spans="1:1" x14ac:dyDescent="0.3">
      <c r="A72" s="11"/>
    </row>
    <row r="73" spans="1:1" x14ac:dyDescent="0.3">
      <c r="A73" s="11"/>
    </row>
    <row r="74" spans="1:1" x14ac:dyDescent="0.3">
      <c r="A74" s="11"/>
    </row>
    <row r="75" spans="1:1" x14ac:dyDescent="0.3">
      <c r="A75" s="11"/>
    </row>
    <row r="76" spans="1:1" x14ac:dyDescent="0.3">
      <c r="A76" s="11"/>
    </row>
    <row r="77" spans="1:1" x14ac:dyDescent="0.3">
      <c r="A77" s="11"/>
    </row>
    <row r="78" spans="1:1" x14ac:dyDescent="0.3">
      <c r="A78" s="11"/>
    </row>
    <row r="79" spans="1:1" x14ac:dyDescent="0.3">
      <c r="A79" s="11"/>
    </row>
    <row r="80" spans="1:1" x14ac:dyDescent="0.3">
      <c r="A80" s="11"/>
    </row>
    <row r="81" spans="1:1" x14ac:dyDescent="0.3">
      <c r="A81" s="11"/>
    </row>
    <row r="82" spans="1:1" x14ac:dyDescent="0.3">
      <c r="A82" s="11"/>
    </row>
    <row r="83" spans="1:1" x14ac:dyDescent="0.3">
      <c r="A83" s="11"/>
    </row>
    <row r="84" spans="1:1" x14ac:dyDescent="0.3">
      <c r="A84" s="11"/>
    </row>
    <row r="85" spans="1:1" x14ac:dyDescent="0.3">
      <c r="A85" s="11"/>
    </row>
    <row r="86" spans="1:1" x14ac:dyDescent="0.3">
      <c r="A86" s="11"/>
    </row>
    <row r="87" spans="1:1" x14ac:dyDescent="0.3">
      <c r="A87" s="11"/>
    </row>
    <row r="88" spans="1:1" x14ac:dyDescent="0.3">
      <c r="A88" s="11"/>
    </row>
    <row r="89" spans="1:1" x14ac:dyDescent="0.3">
      <c r="A89" s="11"/>
    </row>
    <row r="90" spans="1:1" x14ac:dyDescent="0.3">
      <c r="A90" s="11"/>
    </row>
    <row r="91" spans="1:1" x14ac:dyDescent="0.3">
      <c r="A91" s="11"/>
    </row>
    <row r="92" spans="1:1" x14ac:dyDescent="0.3">
      <c r="A92" s="11"/>
    </row>
    <row r="93" spans="1:1" x14ac:dyDescent="0.3">
      <c r="A93" s="35"/>
    </row>
    <row r="94" spans="1:1" x14ac:dyDescent="0.3">
      <c r="A94" s="35"/>
    </row>
    <row r="95" spans="1:1" x14ac:dyDescent="0.3">
      <c r="A95" s="35"/>
    </row>
    <row r="96" spans="1:1" x14ac:dyDescent="0.3">
      <c r="A96" s="35"/>
    </row>
    <row r="97" spans="1:1" x14ac:dyDescent="0.3">
      <c r="A97" s="35"/>
    </row>
    <row r="98" spans="1:1" x14ac:dyDescent="0.3">
      <c r="A98" s="35"/>
    </row>
    <row r="99" spans="1:1" x14ac:dyDescent="0.3">
      <c r="A99" s="11"/>
    </row>
    <row r="100" spans="1:1" x14ac:dyDescent="0.3">
      <c r="A100" s="11"/>
    </row>
    <row r="101" spans="1:1" x14ac:dyDescent="0.3">
      <c r="A101" s="11"/>
    </row>
    <row r="102" spans="1:1" x14ac:dyDescent="0.3">
      <c r="A102" s="11"/>
    </row>
    <row r="103" spans="1:1" x14ac:dyDescent="0.3">
      <c r="A103" s="11"/>
    </row>
    <row r="104" spans="1:1" x14ac:dyDescent="0.3">
      <c r="A104" s="11"/>
    </row>
    <row r="105" spans="1:1" x14ac:dyDescent="0.3">
      <c r="A105" s="11"/>
    </row>
    <row r="106" spans="1:1" x14ac:dyDescent="0.3">
      <c r="A106" s="11"/>
    </row>
    <row r="107" spans="1:1" x14ac:dyDescent="0.3">
      <c r="A107" s="11"/>
    </row>
    <row r="108" spans="1:1" x14ac:dyDescent="0.3">
      <c r="A108" s="11"/>
    </row>
    <row r="109" spans="1:1" x14ac:dyDescent="0.3">
      <c r="A109" s="11"/>
    </row>
    <row r="110" spans="1:1" x14ac:dyDescent="0.3">
      <c r="A110" s="11"/>
    </row>
    <row r="111" spans="1:1" x14ac:dyDescent="0.3">
      <c r="A111" s="11"/>
    </row>
    <row r="112" spans="1:1" x14ac:dyDescent="0.3">
      <c r="A112" s="11"/>
    </row>
    <row r="113" spans="1:1" x14ac:dyDescent="0.3">
      <c r="A113" s="11"/>
    </row>
    <row r="114" spans="1:1" x14ac:dyDescent="0.3">
      <c r="A114" s="11"/>
    </row>
    <row r="115" spans="1:1" x14ac:dyDescent="0.3">
      <c r="A115" s="11"/>
    </row>
    <row r="116" spans="1:1" x14ac:dyDescent="0.3">
      <c r="A116" s="11"/>
    </row>
    <row r="117" spans="1:1" x14ac:dyDescent="0.3">
      <c r="A117" s="11"/>
    </row>
    <row r="118" spans="1:1" x14ac:dyDescent="0.3">
      <c r="A118" s="11"/>
    </row>
    <row r="119" spans="1:1" x14ac:dyDescent="0.3">
      <c r="A119" s="11"/>
    </row>
    <row r="120" spans="1:1" x14ac:dyDescent="0.3">
      <c r="A120" s="11"/>
    </row>
    <row r="121" spans="1:1" x14ac:dyDescent="0.3">
      <c r="A121" s="11"/>
    </row>
    <row r="122" spans="1:1" x14ac:dyDescent="0.3">
      <c r="A122" s="11"/>
    </row>
    <row r="123" spans="1:1" x14ac:dyDescent="0.3">
      <c r="A123" s="11"/>
    </row>
    <row r="124" spans="1:1" x14ac:dyDescent="0.3">
      <c r="A124" s="11"/>
    </row>
    <row r="125" spans="1:1" x14ac:dyDescent="0.3">
      <c r="A125" s="11"/>
    </row>
    <row r="126" spans="1:1" x14ac:dyDescent="0.3">
      <c r="A126" s="11"/>
    </row>
    <row r="127" spans="1:1" x14ac:dyDescent="0.3">
      <c r="A127" s="11"/>
    </row>
    <row r="128" spans="1:1" x14ac:dyDescent="0.3">
      <c r="A128" s="11"/>
    </row>
    <row r="129" spans="1:1" x14ac:dyDescent="0.3">
      <c r="A129" s="11"/>
    </row>
    <row r="130" spans="1:1" x14ac:dyDescent="0.3">
      <c r="A130" s="11"/>
    </row>
    <row r="131" spans="1:1" x14ac:dyDescent="0.3">
      <c r="A131" s="11"/>
    </row>
    <row r="132" spans="1:1" x14ac:dyDescent="0.3">
      <c r="A132" s="11"/>
    </row>
    <row r="133" spans="1:1" x14ac:dyDescent="0.3">
      <c r="A133" s="11"/>
    </row>
    <row r="134" spans="1:1" x14ac:dyDescent="0.3">
      <c r="A134" s="11"/>
    </row>
    <row r="135" spans="1:1" x14ac:dyDescent="0.3">
      <c r="A135" s="11"/>
    </row>
    <row r="136" spans="1:1" x14ac:dyDescent="0.3">
      <c r="A136" s="11"/>
    </row>
    <row r="137" spans="1:1" x14ac:dyDescent="0.3">
      <c r="A137" s="11"/>
    </row>
    <row r="138" spans="1:1" x14ac:dyDescent="0.3">
      <c r="A138" s="11"/>
    </row>
    <row r="139" spans="1:1" x14ac:dyDescent="0.3">
      <c r="A139" s="11"/>
    </row>
    <row r="140" spans="1:1" x14ac:dyDescent="0.3">
      <c r="A140" s="11"/>
    </row>
    <row r="141" spans="1:1" x14ac:dyDescent="0.3">
      <c r="A141" s="11"/>
    </row>
    <row r="142" spans="1:1" x14ac:dyDescent="0.3">
      <c r="A142" s="11"/>
    </row>
    <row r="143" spans="1:1" x14ac:dyDescent="0.3">
      <c r="A143" s="11"/>
    </row>
    <row r="144" spans="1:1" x14ac:dyDescent="0.3">
      <c r="A144" s="11"/>
    </row>
    <row r="145" spans="1:1" x14ac:dyDescent="0.3">
      <c r="A145" s="11"/>
    </row>
    <row r="146" spans="1:1" x14ac:dyDescent="0.3">
      <c r="A146" s="11"/>
    </row>
    <row r="147" spans="1:1" x14ac:dyDescent="0.3">
      <c r="A147" s="11"/>
    </row>
    <row r="148" spans="1:1" x14ac:dyDescent="0.3">
      <c r="A148" s="11"/>
    </row>
    <row r="149" spans="1:1" x14ac:dyDescent="0.3">
      <c r="A149" s="11"/>
    </row>
    <row r="150" spans="1:1" x14ac:dyDescent="0.3">
      <c r="A150" s="11"/>
    </row>
    <row r="151" spans="1:1" x14ac:dyDescent="0.3">
      <c r="A151" s="11"/>
    </row>
    <row r="152" spans="1:1" x14ac:dyDescent="0.3">
      <c r="A152" s="11"/>
    </row>
    <row r="153" spans="1:1" x14ac:dyDescent="0.3">
      <c r="A153" s="11"/>
    </row>
    <row r="154" spans="1:1" x14ac:dyDescent="0.3">
      <c r="A154" s="11"/>
    </row>
    <row r="155" spans="1:1" x14ac:dyDescent="0.3">
      <c r="A155" s="11"/>
    </row>
    <row r="156" spans="1:1" x14ac:dyDescent="0.3">
      <c r="A156" s="11"/>
    </row>
    <row r="157" spans="1:1" x14ac:dyDescent="0.3">
      <c r="A157" s="11"/>
    </row>
    <row r="158" spans="1:1" x14ac:dyDescent="0.3">
      <c r="A158" s="11"/>
    </row>
    <row r="159" spans="1:1" x14ac:dyDescent="0.3">
      <c r="A159" s="11"/>
    </row>
    <row r="160" spans="1:1" x14ac:dyDescent="0.3">
      <c r="A160" s="11"/>
    </row>
    <row r="161" spans="1:1" x14ac:dyDescent="0.3">
      <c r="A161" s="11"/>
    </row>
    <row r="162" spans="1:1" x14ac:dyDescent="0.3">
      <c r="A162" s="11"/>
    </row>
    <row r="163" spans="1:1" x14ac:dyDescent="0.3">
      <c r="A163" s="11"/>
    </row>
    <row r="164" spans="1:1" x14ac:dyDescent="0.3">
      <c r="A164" s="11"/>
    </row>
    <row r="165" spans="1:1" x14ac:dyDescent="0.3">
      <c r="A165" s="11"/>
    </row>
    <row r="166" spans="1:1" x14ac:dyDescent="0.3">
      <c r="A166" s="11"/>
    </row>
    <row r="167" spans="1:1" x14ac:dyDescent="0.3">
      <c r="A167" s="11"/>
    </row>
    <row r="168" spans="1:1" x14ac:dyDescent="0.3">
      <c r="A168" s="11"/>
    </row>
    <row r="169" spans="1:1" x14ac:dyDescent="0.3">
      <c r="A169" s="11"/>
    </row>
    <row r="170" spans="1:1" x14ac:dyDescent="0.3">
      <c r="A170" s="11"/>
    </row>
    <row r="171" spans="1:1" x14ac:dyDescent="0.3">
      <c r="A171" s="11"/>
    </row>
    <row r="172" spans="1:1" x14ac:dyDescent="0.3">
      <c r="A172" s="11"/>
    </row>
    <row r="173" spans="1:1" x14ac:dyDescent="0.3">
      <c r="A173" s="11"/>
    </row>
    <row r="174" spans="1:1" x14ac:dyDescent="0.3">
      <c r="A174" s="11"/>
    </row>
    <row r="175" spans="1:1" x14ac:dyDescent="0.3">
      <c r="A175" s="11"/>
    </row>
    <row r="176" spans="1:1" x14ac:dyDescent="0.3">
      <c r="A176" s="11"/>
    </row>
    <row r="177" spans="1:1" x14ac:dyDescent="0.3">
      <c r="A177" s="11"/>
    </row>
    <row r="178" spans="1:1" x14ac:dyDescent="0.3">
      <c r="A178" s="11"/>
    </row>
    <row r="179" spans="1:1" x14ac:dyDescent="0.3">
      <c r="A179" s="11"/>
    </row>
    <row r="180" spans="1:1" x14ac:dyDescent="0.3">
      <c r="A180" s="11"/>
    </row>
    <row r="181" spans="1:1" x14ac:dyDescent="0.3">
      <c r="A181" s="11"/>
    </row>
    <row r="182" spans="1:1" x14ac:dyDescent="0.3">
      <c r="A182" s="21"/>
    </row>
    <row r="183" spans="1:1" x14ac:dyDescent="0.3">
      <c r="A183" s="47"/>
    </row>
    <row r="184" spans="1:1" x14ac:dyDescent="0.3">
      <c r="A184" s="11"/>
    </row>
    <row r="185" spans="1:1" x14ac:dyDescent="0.3">
      <c r="A185" s="11"/>
    </row>
    <row r="186" spans="1:1" x14ac:dyDescent="0.3">
      <c r="A186" s="11"/>
    </row>
    <row r="187" spans="1:1" x14ac:dyDescent="0.3">
      <c r="A187" s="11"/>
    </row>
    <row r="188" spans="1:1" x14ac:dyDescent="0.3">
      <c r="A188" s="47"/>
    </row>
    <row r="189" spans="1:1" x14ac:dyDescent="0.3">
      <c r="A189" s="11"/>
    </row>
    <row r="190" spans="1:1" x14ac:dyDescent="0.3">
      <c r="A190" s="11"/>
    </row>
    <row r="191" spans="1:1" x14ac:dyDescent="0.3">
      <c r="A191" s="11"/>
    </row>
    <row r="192" spans="1:1" x14ac:dyDescent="0.3">
      <c r="A192" s="11"/>
    </row>
    <row r="193" spans="1:1" x14ac:dyDescent="0.3">
      <c r="A193" s="11"/>
    </row>
    <row r="194" spans="1:1" x14ac:dyDescent="0.3">
      <c r="A194" s="11"/>
    </row>
    <row r="195" spans="1:1" x14ac:dyDescent="0.3">
      <c r="A195" s="11"/>
    </row>
    <row r="196" spans="1:1" x14ac:dyDescent="0.3">
      <c r="A196" s="11"/>
    </row>
    <row r="197" spans="1:1" x14ac:dyDescent="0.3">
      <c r="A197" s="11"/>
    </row>
    <row r="198" spans="1:1" x14ac:dyDescent="0.3">
      <c r="A198" s="11"/>
    </row>
    <row r="199" spans="1:1" x14ac:dyDescent="0.3">
      <c r="A199" s="11"/>
    </row>
    <row r="200" spans="1:1" x14ac:dyDescent="0.3">
      <c r="A200" s="11"/>
    </row>
    <row r="201" spans="1:1" x14ac:dyDescent="0.3">
      <c r="A201" s="11"/>
    </row>
    <row r="202" spans="1:1" x14ac:dyDescent="0.3">
      <c r="A202" s="11"/>
    </row>
    <row r="203" spans="1:1" x14ac:dyDescent="0.3">
      <c r="A203" s="11"/>
    </row>
  </sheetData>
  <phoneticPr fontId="18" type="noConversion"/>
  <pageMargins left="0.75" right="0.75" top="1" bottom="1" header="0.5" footer="0.5"/>
  <pageSetup paperSize="9" scale="97"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d2389ad0-4628-4ca4-babd-a5e1ca1fc43d">
      <UserInfo>
        <DisplayName>Clare Edwards</DisplayName>
        <AccountId>973</AccountId>
        <AccountType/>
      </UserInfo>
      <UserInfo>
        <DisplayName>Warren Luyt</DisplayName>
        <AccountId>13976</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4284662425BB74D9B74AC55D8A84506" ma:contentTypeVersion="13" ma:contentTypeDescription="Create a new document." ma:contentTypeScope="" ma:versionID="4e7e4f0006fd43b3cc0b9d017de0e91b">
  <xsd:schema xmlns:xsd="http://www.w3.org/2001/XMLSchema" xmlns:xs="http://www.w3.org/2001/XMLSchema" xmlns:p="http://schemas.microsoft.com/office/2006/metadata/properties" xmlns:ns2="fc793d82-19eb-4d38-9d5b-bc2fe3939cf2" xmlns:ns3="d2389ad0-4628-4ca4-babd-a5e1ca1fc43d" targetNamespace="http://schemas.microsoft.com/office/2006/metadata/properties" ma:root="true" ma:fieldsID="8d3dd0ba8637538026bbf60ff00f8a31" ns2:_="" ns3:_="">
    <xsd:import namespace="fc793d82-19eb-4d38-9d5b-bc2fe3939cf2"/>
    <xsd:import namespace="d2389ad0-4628-4ca4-babd-a5e1ca1fc43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793d82-19eb-4d38-9d5b-bc2fe3939cf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2389ad0-4628-4ca4-babd-a5e1ca1fc43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18FCE7D-558C-49C7-B60E-1AFA64908B89}">
  <ds:schemaRefs>
    <ds:schemaRef ds:uri="http://schemas.microsoft.com/sharepoint/v3/contenttype/forms"/>
  </ds:schemaRefs>
</ds:datastoreItem>
</file>

<file path=customXml/itemProps2.xml><?xml version="1.0" encoding="utf-8"?>
<ds:datastoreItem xmlns:ds="http://schemas.openxmlformats.org/officeDocument/2006/customXml" ds:itemID="{9494CF86-BF3D-4ACC-A260-13F78964B274}">
  <ds:schemaRefs>
    <ds:schemaRef ds:uri="http://schemas.microsoft.com/office/2006/metadata/properties"/>
    <ds:schemaRef ds:uri="http://schemas.microsoft.com/office/infopath/2007/PartnerControls"/>
    <ds:schemaRef ds:uri="d2389ad0-4628-4ca4-babd-a5e1ca1fc43d"/>
  </ds:schemaRefs>
</ds:datastoreItem>
</file>

<file path=customXml/itemProps3.xml><?xml version="1.0" encoding="utf-8"?>
<ds:datastoreItem xmlns:ds="http://schemas.openxmlformats.org/officeDocument/2006/customXml" ds:itemID="{D404884E-9B60-4C54-81ED-521B0B0E9A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793d82-19eb-4d38-9d5b-bc2fe3939cf2"/>
    <ds:schemaRef ds:uri="d2389ad0-4628-4ca4-babd-a5e1ca1fc4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38</vt:i4>
      </vt:variant>
    </vt:vector>
  </HeadingPairs>
  <TitlesOfParts>
    <vt:vector size="42" baseType="lpstr">
      <vt:lpstr>Statistical return</vt:lpstr>
      <vt:lpstr>Guidance, definitions</vt:lpstr>
      <vt:lpstr>LOV</vt:lpstr>
      <vt:lpstr>lookup</vt:lpstr>
      <vt:lpstr>East_Midlands</vt:lpstr>
      <vt:lpstr>East_of_England</vt:lpstr>
      <vt:lpstr>Finished</vt:lpstr>
      <vt:lpstr>G8.1</vt:lpstr>
      <vt:lpstr>G8.2</vt:lpstr>
      <vt:lpstr>G8.3</vt:lpstr>
      <vt:lpstr>G8.4</vt:lpstr>
      <vt:lpstr>G8.5</vt:lpstr>
      <vt:lpstr>G8.6</vt:lpstr>
      <vt:lpstr>Indent</vt:lpstr>
      <vt:lpstr>Kent__Surrey_and_Sussex</vt:lpstr>
      <vt:lpstr>LineBreak</vt:lpstr>
      <vt:lpstr>London</vt:lpstr>
      <vt:lpstr>LstCompletion</vt:lpstr>
      <vt:lpstr>LstHeadCountEntries</vt:lpstr>
      <vt:lpstr>LstHeadcountVacancies</vt:lpstr>
      <vt:lpstr>LstOthers</vt:lpstr>
      <vt:lpstr>lstprogress</vt:lpstr>
      <vt:lpstr>North_East</vt:lpstr>
      <vt:lpstr>North_West</vt:lpstr>
      <vt:lpstr>NotStarted</vt:lpstr>
      <vt:lpstr>Other</vt:lpstr>
      <vt:lpstr>PERIOD</vt:lpstr>
      <vt:lpstr>Please_Check</vt:lpstr>
      <vt:lpstr>'Guidance, definitions'!Print_Area</vt:lpstr>
      <vt:lpstr>lookup!Print_Area</vt:lpstr>
      <vt:lpstr>'Statistical return'!Print_Area</vt:lpstr>
      <vt:lpstr>ReportText</vt:lpstr>
      <vt:lpstr>SECTOR</vt:lpstr>
      <vt:lpstr>SHA</vt:lpstr>
      <vt:lpstr>South_West</vt:lpstr>
      <vt:lpstr>Started</vt:lpstr>
      <vt:lpstr>TblAnnualStatsComments</vt:lpstr>
      <vt:lpstr>Thames_Valley</vt:lpstr>
      <vt:lpstr>TYPE</vt:lpstr>
      <vt:lpstr>Wessex</vt:lpstr>
      <vt:lpstr>West_Midlands</vt:lpstr>
      <vt:lpstr>Yorks._and_the_Humber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Annual NHS Library Services Return 2018-19</dc:title>
  <dc:subject/>
  <dc:creator>Linda Ferguson;Clare Edwards and Dominic Gilroy with Claire Nevill</dc:creator>
  <cp:keywords/>
  <dc:description>Section 4 Income - added notes about not using negative numbers.
Added note about sampling to section 9.
Updated guidance for 10.1 (data validation), 10.2 and 10.4.
4.18 corrected the formulae to show the value of Income-Expenditure.</dc:description>
  <cp:lastModifiedBy>Noel Cudden</cp:lastModifiedBy>
  <cp:revision/>
  <dcterms:created xsi:type="dcterms:W3CDTF">2008-01-04T17:04:56Z</dcterms:created>
  <dcterms:modified xsi:type="dcterms:W3CDTF">2022-04-04T16:16:22Z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0x01010004284662425BB74D9B74AC55D8A84506</vt:lpwstr>
  </property>
</Properties>
</file>