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801" codeName="{4D1C537B-E38A-612A-F078-A93A15B4B7F4}"/>
  <workbookPr codeName="ThisWorkbook"/>
  <mc:AlternateContent xmlns:mc="http://schemas.openxmlformats.org/markup-compatibility/2006">
    <mc:Choice Requires="x15">
      <x15ac:absPath xmlns:x15ac="http://schemas.microsoft.com/office/spreadsheetml/2010/11/ac" url="https://healtheducationengland.sharepoint.com/LKS/Quality and Impact/Statistics/2021 Work/"/>
    </mc:Choice>
  </mc:AlternateContent>
  <xr:revisionPtr revIDLastSave="3" documentId="8_{A370D28E-195E-4570-887A-6BF5927E58A4}" xr6:coauthVersionLast="46" xr6:coauthVersionMax="46" xr10:uidLastSave="{D2F9C4EC-296C-4DEE-AA49-E6E475E2C0C7}"/>
  <workbookProtection workbookAlgorithmName="SHA-512" workbookHashValue="oHVbECwVDvJ4CHtqdIfmN2xnfyabiTH1Z23o+kJPZy4xbrKLUQt9gXcOx1koeMdGalOsvYo1rzH5qkHdycLIeQ==" workbookSaltValue="yCvRK8MOIhs8xhrjKXH9iA==" workbookSpinCount="100000" lockStructure="1"/>
  <bookViews>
    <workbookView xWindow="-108" yWindow="-108" windowWidth="23256" windowHeight="12576" tabRatio="601" activeTab="1" xr2:uid="{00000000-000D-0000-FFFF-FFFF00000000}"/>
  </bookViews>
  <sheets>
    <sheet name="Statistical return" sheetId="1" r:id="rId1"/>
    <sheet name="Guidance" sheetId="2" r:id="rId2"/>
    <sheet name="LOV" sheetId="4" state="hidden" r:id="rId3"/>
    <sheet name="lookup" sheetId="3" state="hidden" r:id="rId4"/>
  </sheets>
  <functionGroups builtInGroupCount="19"/>
  <definedNames>
    <definedName name="East_Midlands">LOV!$C$2:$C$11</definedName>
    <definedName name="East_of_England">LOV!$E$2:$E$18</definedName>
    <definedName name="FormReport">'Statistical return'!$B$133</definedName>
    <definedName name="Indent">'Statistical return'!$S$2</definedName>
    <definedName name="Kent__Surrey_and_Sussex">LOV!$G$2:$G$12</definedName>
    <definedName name="LineBreak">'Statistical return'!$R$2</definedName>
    <definedName name="London">LOV!$I$2:$I$32</definedName>
    <definedName name="LstCompletion">'Statistical return'!$Q$18:$Q$32</definedName>
    <definedName name="LstHeadCountEntries">'Statistical return'!$Q$53:$Q$59</definedName>
    <definedName name="LstHeadcountVacancies">'Statistical return'!$Q$62:$Q$67</definedName>
    <definedName name="LstOthers">'Statistical return'!$M$18:$M$32</definedName>
    <definedName name="North_East">LOV!$K$2:$K$31</definedName>
    <definedName name="North_West">LOV!$M$2:$M$32</definedName>
    <definedName name="_xlnm.Print_Area" localSheetId="1">Guidance!$A$1:$H$87</definedName>
    <definedName name="_xlnm.Print_Area" localSheetId="3">lookup!$A$1:$L$49</definedName>
    <definedName name="_xlnm.Print_Area" localSheetId="0">'Statistical return'!$A:$K</definedName>
    <definedName name="ReportText">'Statistical return'!$V$4:$V$143</definedName>
    <definedName name="SECTOR">lookup!$A$16:$A$19</definedName>
    <definedName name="SHA">lookup!$A$3:$A$13</definedName>
    <definedName name="South_West">LOV!$O$2:$O$31</definedName>
    <definedName name="TblStaffBands">'Statistical return'!$P$73</definedName>
    <definedName name="Thames_Valley">LOV!$Q$2:$Q$31</definedName>
    <definedName name="TYPE">lookup!$A$23:$A$43</definedName>
    <definedName name="Wessex">LOV!$S$2:$S$6</definedName>
    <definedName name="West_Midlands">LOV!$U$2:$U$23</definedName>
    <definedName name="Yorks._and_the_Humber">LOV!$W$2:$W$19</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56" i="1" l="1"/>
  <c r="T55" i="1"/>
  <c r="R65" i="1"/>
  <c r="T57" i="1"/>
  <c r="R115" i="1"/>
  <c r="R83" i="1"/>
  <c r="T82" i="1"/>
  <c r="T67" i="1"/>
  <c r="R67" i="1"/>
  <c r="R62" i="1"/>
  <c r="R61" i="1"/>
  <c r="T62" i="1"/>
  <c r="R55" i="1"/>
  <c r="R63" i="1"/>
  <c r="S114" i="1"/>
  <c r="T52" i="1" l="1"/>
  <c r="R47" i="1"/>
  <c r="R45" i="1"/>
  <c r="R18" i="1"/>
  <c r="R10" i="1"/>
  <c r="R6" i="1"/>
  <c r="E70" i="1"/>
  <c r="F79" i="1"/>
  <c r="G80" i="1"/>
  <c r="F80" i="1"/>
  <c r="R49" i="1"/>
  <c r="E62" i="1"/>
  <c r="U57" i="1" s="1"/>
  <c r="E63" i="1"/>
  <c r="S49" i="1"/>
  <c r="S63" i="1"/>
  <c r="S115" i="1"/>
  <c r="S83" i="1"/>
  <c r="S51" i="1"/>
  <c r="S10" i="1"/>
  <c r="U115" i="1"/>
  <c r="S6" i="1"/>
  <c r="T45" i="1"/>
  <c r="F62" i="1" l="1"/>
  <c r="R110" i="1"/>
  <c r="R109" i="1"/>
  <c r="R108" i="1"/>
  <c r="U107" i="1"/>
  <c r="R107" i="1"/>
  <c r="V106" i="1"/>
  <c r="R106" i="1"/>
  <c r="V105" i="1"/>
  <c r="R105" i="1"/>
  <c r="R104" i="1"/>
  <c r="C14" i="1"/>
  <c r="C13" i="1"/>
  <c r="C11" i="1"/>
  <c r="C10" i="1"/>
  <c r="G41" i="1"/>
  <c r="E41" i="1"/>
  <c r="E60" i="1"/>
  <c r="S108" i="1"/>
  <c r="S38" i="1"/>
  <c r="S107" i="1"/>
  <c r="T115" i="1"/>
  <c r="S109" i="1"/>
  <c r="U83" i="1" l="1"/>
  <c r="U84" i="1" s="1"/>
  <c r="F70" i="1"/>
  <c r="F60" i="1"/>
  <c r="F38" i="1" l="1"/>
  <c r="T7" i="1" l="1"/>
  <c r="F67" i="1" l="1"/>
  <c r="F68" i="1"/>
  <c r="F66" i="1"/>
  <c r="F69" i="1"/>
  <c r="G67" i="1"/>
  <c r="T91" i="1" s="1"/>
  <c r="G48" i="1"/>
  <c r="F40" i="1"/>
  <c r="K79" i="1"/>
  <c r="H88" i="1" s="1"/>
  <c r="R137" i="1"/>
  <c r="R136" i="1"/>
  <c r="R2" i="1"/>
  <c r="T124" i="1"/>
  <c r="G79" i="1"/>
  <c r="K80" i="1"/>
  <c r="J80" i="1"/>
  <c r="I80" i="1"/>
  <c r="H80" i="1"/>
  <c r="E80" i="1"/>
  <c r="T15" i="1"/>
  <c r="R89" i="1"/>
  <c r="T86" i="1"/>
  <c r="T87" i="1"/>
  <c r="T88" i="1"/>
  <c r="T85" i="1"/>
  <c r="H79" i="1"/>
  <c r="E88" i="1" s="1"/>
  <c r="I79" i="1"/>
  <c r="F88" i="1" s="1"/>
  <c r="J79" i="1"/>
  <c r="G88" i="1" s="1"/>
  <c r="E79" i="1"/>
  <c r="R133" i="1"/>
  <c r="R132" i="1"/>
  <c r="R131" i="1"/>
  <c r="R130" i="1"/>
  <c r="R129" i="1"/>
  <c r="R128" i="1"/>
  <c r="R127" i="1"/>
  <c r="R126" i="1"/>
  <c r="R125" i="1"/>
  <c r="R124" i="1"/>
  <c r="R123" i="1"/>
  <c r="R122" i="1"/>
  <c r="R121" i="1"/>
  <c r="R120" i="1"/>
  <c r="R119" i="1"/>
  <c r="R118" i="1"/>
  <c r="R117" i="1"/>
  <c r="R116" i="1"/>
  <c r="R114" i="1"/>
  <c r="R112" i="1"/>
  <c r="R95" i="1"/>
  <c r="R94" i="1"/>
  <c r="R90" i="1"/>
  <c r="R88" i="1"/>
  <c r="R87" i="1"/>
  <c r="R86" i="1"/>
  <c r="R85" i="1"/>
  <c r="R84" i="1"/>
  <c r="R82" i="1"/>
  <c r="R81" i="1"/>
  <c r="R72" i="1"/>
  <c r="R71" i="1"/>
  <c r="R70" i="1"/>
  <c r="R69" i="1"/>
  <c r="R66" i="1"/>
  <c r="R64" i="1"/>
  <c r="M67" i="1"/>
  <c r="M66" i="1"/>
  <c r="M65" i="1"/>
  <c r="M64" i="1"/>
  <c r="M63" i="1"/>
  <c r="M62" i="1"/>
  <c r="O63" i="1"/>
  <c r="O64" i="1"/>
  <c r="O65" i="1"/>
  <c r="O66" i="1"/>
  <c r="O67" i="1"/>
  <c r="O62" i="1"/>
  <c r="M55" i="1"/>
  <c r="M56" i="1"/>
  <c r="M57" i="1"/>
  <c r="M58" i="1"/>
  <c r="M59" i="1"/>
  <c r="M53" i="1"/>
  <c r="O55" i="1"/>
  <c r="O56" i="1"/>
  <c r="O57" i="1"/>
  <c r="O58" i="1"/>
  <c r="O59" i="1"/>
  <c r="O53" i="1"/>
  <c r="O19" i="1"/>
  <c r="O20" i="1"/>
  <c r="O21" i="1"/>
  <c r="O22" i="1"/>
  <c r="O23" i="1"/>
  <c r="O24" i="1"/>
  <c r="O25" i="1"/>
  <c r="O26" i="1"/>
  <c r="O27" i="1"/>
  <c r="O28" i="1"/>
  <c r="O29" i="1"/>
  <c r="O30" i="1"/>
  <c r="O31" i="1"/>
  <c r="O32" i="1"/>
  <c r="O18" i="1"/>
  <c r="R52" i="1"/>
  <c r="R57" i="1"/>
  <c r="R56" i="1"/>
  <c r="R53" i="1"/>
  <c r="R43" i="1"/>
  <c r="R7" i="1"/>
  <c r="R8" i="1"/>
  <c r="R11" i="1"/>
  <c r="R12" i="1"/>
  <c r="R13" i="1"/>
  <c r="R14" i="1"/>
  <c r="R46" i="1"/>
  <c r="R44" i="1"/>
  <c r="R42" i="1"/>
  <c r="R36" i="1"/>
  <c r="R34" i="1"/>
  <c r="R35" i="1"/>
  <c r="R33" i="1"/>
  <c r="R19" i="1"/>
  <c r="R20" i="1"/>
  <c r="R21" i="1"/>
  <c r="R22" i="1"/>
  <c r="R23" i="1"/>
  <c r="R24" i="1"/>
  <c r="R25" i="1"/>
  <c r="R26" i="1"/>
  <c r="R27" i="1"/>
  <c r="R28" i="1"/>
  <c r="R29" i="1"/>
  <c r="R30" i="1"/>
  <c r="R31" i="1"/>
  <c r="R32" i="1"/>
  <c r="R40" i="1"/>
  <c r="R39" i="1"/>
  <c r="F39" i="1"/>
  <c r="G46" i="1"/>
  <c r="F47" i="1"/>
  <c r="F44" i="1"/>
  <c r="V143" i="1"/>
  <c r="V142" i="1"/>
  <c r="V141" i="1"/>
  <c r="V140" i="1"/>
  <c r="V139" i="1"/>
  <c r="V138" i="1"/>
  <c r="V135" i="1"/>
  <c r="V134" i="1"/>
  <c r="U124" i="1"/>
  <c r="V88" i="1"/>
  <c r="V87" i="1"/>
  <c r="V86" i="1"/>
  <c r="V85" i="1"/>
  <c r="V82" i="1"/>
  <c r="V76" i="1"/>
  <c r="T71" i="1"/>
  <c r="T70" i="1"/>
  <c r="T69" i="1"/>
  <c r="T66" i="1"/>
  <c r="T65" i="1"/>
  <c r="T64" i="1"/>
  <c r="T63" i="1"/>
  <c r="V62" i="1"/>
  <c r="T60" i="1"/>
  <c r="T59" i="1"/>
  <c r="T58" i="1"/>
  <c r="V52" i="1"/>
  <c r="U36" i="1"/>
  <c r="V34" i="1"/>
  <c r="V33" i="1"/>
  <c r="M32" i="1"/>
  <c r="M31" i="1"/>
  <c r="M30" i="1"/>
  <c r="M29" i="1"/>
  <c r="M28" i="1"/>
  <c r="V27" i="1"/>
  <c r="M27" i="1"/>
  <c r="M26" i="1"/>
  <c r="M25" i="1"/>
  <c r="M24" i="1"/>
  <c r="M23" i="1"/>
  <c r="V22" i="1"/>
  <c r="M22" i="1"/>
  <c r="V21" i="1"/>
  <c r="M21" i="1"/>
  <c r="V20" i="1"/>
  <c r="M20" i="1"/>
  <c r="M19" i="1"/>
  <c r="M18" i="1"/>
  <c r="T8" i="1"/>
  <c r="T6" i="1"/>
  <c r="G60" i="1"/>
  <c r="H60" i="1"/>
  <c r="A1" i="1"/>
  <c r="V123" i="1"/>
  <c r="V122" i="1"/>
  <c r="T46" i="1"/>
  <c r="S66" i="1"/>
  <c r="N63" i="1"/>
  <c r="T109" i="1"/>
  <c r="S71" i="1"/>
  <c r="T47" i="1"/>
  <c r="T49" i="1" l="1"/>
  <c r="V49" i="1" s="1"/>
  <c r="T94" i="1"/>
  <c r="T53" i="1"/>
  <c r="T38" i="1"/>
  <c r="T48" i="1"/>
  <c r="V48" i="1" s="1"/>
  <c r="T112" i="1"/>
  <c r="T107" i="1"/>
  <c r="V107" i="1" s="1"/>
  <c r="T108" i="1"/>
  <c r="T104" i="1"/>
  <c r="T72" i="1"/>
  <c r="T36" i="1"/>
  <c r="V36" i="1" s="1"/>
  <c r="T13" i="1"/>
  <c r="T43" i="1"/>
  <c r="T14" i="1"/>
  <c r="T83" i="1"/>
  <c r="E81" i="1"/>
  <c r="F81" i="1" s="1"/>
  <c r="V57" i="1"/>
  <c r="V124" i="1"/>
  <c r="T5" i="1"/>
  <c r="T39" i="1"/>
  <c r="T92" i="1"/>
  <c r="U31" i="1"/>
  <c r="V31" i="1" s="1"/>
  <c r="T136" i="1"/>
  <c r="T113" i="1"/>
  <c r="T51" i="1"/>
  <c r="T9" i="1"/>
  <c r="T12" i="1"/>
  <c r="T42" i="1"/>
  <c r="T90" i="1"/>
  <c r="T17" i="1"/>
  <c r="T125" i="1"/>
  <c r="T11" i="1"/>
  <c r="T40" i="1"/>
  <c r="T4" i="1"/>
  <c r="V4" i="1" s="1"/>
  <c r="T81" i="1"/>
  <c r="T35" i="1"/>
  <c r="V35" i="1" s="1"/>
  <c r="T28" i="1"/>
  <c r="T31" i="1"/>
  <c r="T16" i="1"/>
  <c r="V16" i="1" s="1"/>
  <c r="T10" i="1"/>
  <c r="T50" i="1"/>
  <c r="V50" i="1" s="1"/>
  <c r="U68" i="1"/>
  <c r="V68" i="1" s="1"/>
  <c r="T29" i="1"/>
  <c r="U30" i="1"/>
  <c r="T61" i="1"/>
  <c r="T121" i="1"/>
  <c r="T27" i="1"/>
  <c r="T32" i="1"/>
  <c r="T30" i="1"/>
  <c r="T89" i="1"/>
  <c r="T95" i="1"/>
  <c r="V83" i="1" l="1"/>
  <c r="V30" i="1"/>
  <c r="U60" i="1"/>
  <c r="V60" i="1" s="1"/>
  <c r="U28" i="1"/>
  <c r="V28" i="1" s="1"/>
  <c r="U29" i="1"/>
  <c r="V29" i="1" s="1"/>
  <c r="U32" i="1"/>
  <c r="V32" i="1" s="1"/>
  <c r="U56" i="1" l="1"/>
  <c r="V56" i="1" s="1"/>
  <c r="U55" i="1"/>
  <c r="U58" i="1" s="1"/>
  <c r="V58" i="1" s="1"/>
  <c r="T44" i="1"/>
  <c r="U6" i="1"/>
  <c r="V6" i="1" s="1"/>
  <c r="S43" i="1"/>
  <c r="U10" i="1"/>
  <c r="V10" i="1" s="1"/>
  <c r="V84" i="1"/>
  <c r="P56" i="1"/>
  <c r="P22" i="1"/>
  <c r="S62" i="1"/>
  <c r="N56" i="1"/>
  <c r="N67" i="1"/>
  <c r="S90" i="1"/>
  <c r="N53" i="1"/>
  <c r="S23" i="1"/>
  <c r="S104" i="1"/>
  <c r="P55" i="1"/>
  <c r="P65" i="1"/>
  <c r="S17" i="1"/>
  <c r="S94" i="1"/>
  <c r="N62" i="1"/>
  <c r="P24" i="1"/>
  <c r="T114" i="1"/>
  <c r="P57" i="1"/>
  <c r="S93" i="1"/>
  <c r="P28" i="1"/>
  <c r="S68" i="1"/>
  <c r="S125" i="1"/>
  <c r="S13" i="1"/>
  <c r="S86" i="1"/>
  <c r="S121" i="1"/>
  <c r="P20" i="1"/>
  <c r="T131" i="1"/>
  <c r="S33" i="1"/>
  <c r="S126" i="1"/>
  <c r="S81" i="1"/>
  <c r="S65" i="1"/>
  <c r="P53" i="1"/>
  <c r="S130" i="1"/>
  <c r="N58" i="1"/>
  <c r="P25" i="1"/>
  <c r="S7" i="1"/>
  <c r="S119" i="1"/>
  <c r="N64" i="1"/>
  <c r="T127" i="1"/>
  <c r="S20" i="1"/>
  <c r="S27" i="1"/>
  <c r="P58" i="1"/>
  <c r="T110" i="1"/>
  <c r="T133" i="1"/>
  <c r="S32" i="1"/>
  <c r="N65" i="1"/>
  <c r="S16" i="1"/>
  <c r="S70" i="1"/>
  <c r="S59" i="1"/>
  <c r="S56" i="1"/>
  <c r="S26" i="1"/>
  <c r="S31" i="1"/>
  <c r="S36" i="1"/>
  <c r="P18" i="1"/>
  <c r="S30" i="1"/>
  <c r="U91" i="1"/>
  <c r="S122" i="1"/>
  <c r="S45" i="1"/>
  <c r="S40" i="1"/>
  <c r="T137" i="1"/>
  <c r="S116" i="1"/>
  <c r="S57" i="1"/>
  <c r="P31" i="1"/>
  <c r="S44" i="1"/>
  <c r="S61" i="1"/>
  <c r="S39" i="1"/>
  <c r="P30" i="1"/>
  <c r="S25" i="1"/>
  <c r="S76" i="1"/>
  <c r="S14" i="1"/>
  <c r="P67" i="1"/>
  <c r="S35" i="1"/>
  <c r="S52" i="1"/>
  <c r="P32" i="1"/>
  <c r="S9" i="1"/>
  <c r="S22" i="1"/>
  <c r="S112" i="1"/>
  <c r="S84" i="1"/>
  <c r="P29" i="1"/>
  <c r="S11" i="1"/>
  <c r="S72" i="1"/>
  <c r="S55" i="1"/>
  <c r="S117" i="1"/>
  <c r="P63" i="1"/>
  <c r="S18" i="1"/>
  <c r="S46" i="1"/>
  <c r="S34" i="1"/>
  <c r="S60" i="1"/>
  <c r="T84" i="1"/>
  <c r="U120" i="1"/>
  <c r="S42" i="1"/>
  <c r="S89" i="1"/>
  <c r="S64" i="1"/>
  <c r="P19" i="1"/>
  <c r="S105" i="1"/>
  <c r="U118" i="1"/>
  <c r="S67" i="1"/>
  <c r="S58" i="1"/>
  <c r="U117" i="1"/>
  <c r="P64" i="1"/>
  <c r="P66" i="1"/>
  <c r="S85" i="1"/>
  <c r="S87" i="1"/>
  <c r="N59" i="1"/>
  <c r="S29" i="1"/>
  <c r="S8" i="1"/>
  <c r="N55" i="1"/>
  <c r="S69" i="1"/>
  <c r="S5" i="1"/>
  <c r="P59" i="1"/>
  <c r="S21" i="1"/>
  <c r="P23" i="1"/>
  <c r="S92" i="1"/>
  <c r="S47" i="1"/>
  <c r="S88" i="1"/>
  <c r="P27" i="1"/>
  <c r="P21" i="1"/>
  <c r="U116" i="1"/>
  <c r="N57" i="1"/>
  <c r="S82" i="1"/>
  <c r="P26" i="1"/>
  <c r="S53" i="1"/>
  <c r="N66" i="1"/>
  <c r="S95" i="1"/>
  <c r="S106" i="1"/>
  <c r="S91" i="1"/>
  <c r="S15" i="1"/>
  <c r="P62" i="1"/>
  <c r="S118" i="1"/>
  <c r="S128" i="1"/>
  <c r="S12" i="1"/>
  <c r="S24" i="1"/>
  <c r="S132" i="1"/>
  <c r="S124" i="1"/>
  <c r="U119" i="1"/>
  <c r="S123" i="1"/>
  <c r="T129" i="1"/>
  <c r="S28" i="1"/>
  <c r="U114" i="1"/>
  <c r="S19" i="1"/>
  <c r="S37" i="1"/>
  <c r="S120" i="1"/>
  <c r="U43" i="1"/>
  <c r="U44" i="1"/>
  <c r="U66" i="1" l="1"/>
  <c r="V66" i="1" s="1"/>
  <c r="U64" i="1"/>
  <c r="U69" i="1" s="1"/>
  <c r="V69" i="1" s="1"/>
  <c r="U63" i="1"/>
  <c r="V63" i="1" s="1"/>
  <c r="U67" i="1"/>
  <c r="U72" i="1" s="1"/>
  <c r="V72" i="1" s="1"/>
  <c r="U65" i="1"/>
  <c r="V65" i="1" s="1"/>
  <c r="U11" i="1"/>
  <c r="V11" i="1" s="1"/>
  <c r="U8" i="1"/>
  <c r="V8" i="1" s="1"/>
  <c r="U131" i="1"/>
  <c r="U130" i="1" s="1"/>
  <c r="V130" i="1" s="1"/>
  <c r="U90" i="1"/>
  <c r="U89" i="1" s="1"/>
  <c r="V89" i="1" s="1"/>
  <c r="U14" i="1"/>
  <c r="V14" i="1" s="1"/>
  <c r="Q27" i="1"/>
  <c r="Q66" i="1"/>
  <c r="Q24" i="1"/>
  <c r="Q30" i="1"/>
  <c r="U92" i="1"/>
  <c r="V92" i="1" s="1"/>
  <c r="Q53" i="1"/>
  <c r="Q63" i="1"/>
  <c r="U127" i="1"/>
  <c r="U126" i="1" s="1"/>
  <c r="V126" i="1" s="1"/>
  <c r="U12" i="1"/>
  <c r="V12" i="1" s="1"/>
  <c r="U13" i="1"/>
  <c r="V13" i="1" s="1"/>
  <c r="Q20" i="1"/>
  <c r="U129" i="1"/>
  <c r="U128" i="1" s="1"/>
  <c r="V128" i="1" s="1"/>
  <c r="U37" i="1"/>
  <c r="V37" i="1" s="1"/>
  <c r="T37" i="1"/>
  <c r="U38" i="1" s="1"/>
  <c r="V38" i="1" s="1"/>
  <c r="U53" i="1"/>
  <c r="V53" i="1" s="1"/>
  <c r="Q23" i="1"/>
  <c r="Q65" i="1"/>
  <c r="U133" i="1"/>
  <c r="U132" i="1" s="1"/>
  <c r="V132" i="1" s="1"/>
  <c r="Q29" i="1"/>
  <c r="U46" i="1"/>
  <c r="V46" i="1" s="1"/>
  <c r="Q32" i="1"/>
  <c r="U7" i="1"/>
  <c r="V7" i="1" s="1"/>
  <c r="T21" i="1"/>
  <c r="U19" i="1" s="1"/>
  <c r="V19" i="1" s="1"/>
  <c r="Q18" i="1"/>
  <c r="V91" i="1"/>
  <c r="Q26" i="1"/>
  <c r="Q67" i="1"/>
  <c r="Q62" i="1"/>
  <c r="Q64" i="1"/>
  <c r="V120" i="1"/>
  <c r="Q56" i="1"/>
  <c r="U110" i="1"/>
  <c r="U109" i="1" s="1"/>
  <c r="V109" i="1" s="1"/>
  <c r="Q59" i="1"/>
  <c r="Q28" i="1"/>
  <c r="Q19" i="1"/>
  <c r="T22" i="1"/>
  <c r="Q31" i="1"/>
  <c r="Q57" i="1"/>
  <c r="Q25" i="1"/>
  <c r="U94" i="1"/>
  <c r="U95" i="1" s="1"/>
  <c r="V95" i="1" s="1"/>
  <c r="U125" i="1"/>
  <c r="V125" i="1" s="1"/>
  <c r="Q22" i="1"/>
  <c r="U112" i="1"/>
  <c r="V112" i="1" s="1"/>
  <c r="U108" i="1"/>
  <c r="V108" i="1" s="1"/>
  <c r="Q21" i="1"/>
  <c r="Q55" i="1"/>
  <c r="Q58" i="1"/>
  <c r="V117" i="1"/>
  <c r="V43" i="1"/>
  <c r="U45" i="1"/>
  <c r="V45" i="1" s="1"/>
  <c r="V44" i="1"/>
  <c r="V119" i="1"/>
  <c r="V118" i="1"/>
  <c r="V116" i="1"/>
  <c r="V114" i="1"/>
  <c r="V55" i="1"/>
  <c r="U59" i="1"/>
  <c r="V59" i="1" s="1"/>
  <c r="U71" i="1"/>
  <c r="V71" i="1" s="1"/>
  <c r="V90" i="1"/>
  <c r="T117" i="1"/>
  <c r="T126" i="1"/>
  <c r="T130" i="1"/>
  <c r="T120" i="1"/>
  <c r="T119" i="1"/>
  <c r="U136" i="1"/>
  <c r="U47" i="1"/>
  <c r="T118" i="1"/>
  <c r="T132" i="1"/>
  <c r="T116" i="1"/>
  <c r="T128" i="1"/>
  <c r="V94" i="1" l="1"/>
  <c r="U42" i="1"/>
  <c r="V42" i="1" s="1"/>
  <c r="R79" i="1"/>
  <c r="T18" i="1"/>
  <c r="V110" i="1"/>
  <c r="V127" i="1"/>
  <c r="U113" i="1"/>
  <c r="V113" i="1" s="1"/>
  <c r="V129" i="1"/>
  <c r="T74" i="1"/>
  <c r="T79" i="1"/>
  <c r="U70" i="1"/>
  <c r="V70" i="1" s="1"/>
  <c r="U18" i="1"/>
  <c r="V18" i="1" s="1"/>
  <c r="U80" i="1"/>
  <c r="V80" i="1" s="1"/>
  <c r="V133" i="1"/>
  <c r="U75" i="1"/>
  <c r="V75" i="1" s="1"/>
  <c r="U74" i="1"/>
  <c r="V74" i="1" s="1"/>
  <c r="T73" i="1"/>
  <c r="U40" i="1"/>
  <c r="V40" i="1" s="1"/>
  <c r="R77" i="1"/>
  <c r="U39" i="1"/>
  <c r="V39" i="1" s="1"/>
  <c r="R73" i="1"/>
  <c r="V64" i="1"/>
  <c r="U81" i="1"/>
  <c r="V81" i="1" s="1"/>
  <c r="R75" i="1"/>
  <c r="T26" i="1"/>
  <c r="T80" i="1"/>
  <c r="T93" i="1"/>
  <c r="V93" i="1" s="1"/>
  <c r="V67" i="1"/>
  <c r="R74" i="1"/>
  <c r="R80" i="1"/>
  <c r="V131" i="1"/>
  <c r="U73" i="1"/>
  <c r="V73" i="1" s="1"/>
  <c r="U23" i="1"/>
  <c r="V23" i="1" s="1"/>
  <c r="V47" i="1"/>
  <c r="T75" i="1"/>
  <c r="U77" i="1"/>
  <c r="V77" i="1" s="1"/>
  <c r="U79" i="1"/>
  <c r="U24" i="1"/>
  <c r="V24" i="1" s="1"/>
  <c r="U5" i="1"/>
  <c r="V5" i="1" s="1"/>
  <c r="T25" i="1"/>
  <c r="T23" i="1"/>
  <c r="U26" i="1"/>
  <c r="V26" i="1" s="1"/>
  <c r="T19" i="1"/>
  <c r="U17" i="1"/>
  <c r="V17" i="1" s="1"/>
  <c r="T77" i="1"/>
  <c r="U25" i="1"/>
  <c r="V25" i="1" s="1"/>
  <c r="T24" i="1"/>
  <c r="U9" i="1"/>
  <c r="V9" i="1" s="1"/>
  <c r="U104" i="1"/>
  <c r="V104" i="1" s="1"/>
  <c r="V136" i="1"/>
  <c r="U137" i="1"/>
  <c r="V137" i="1" s="1"/>
  <c r="S79" i="1"/>
  <c r="S74" i="1"/>
  <c r="S75" i="1"/>
  <c r="S80" i="1"/>
  <c r="S73" i="1"/>
  <c r="S77" i="1"/>
  <c r="U15" i="1" l="1"/>
  <c r="V15" i="1" s="1"/>
  <c r="U61" i="1"/>
  <c r="V61" i="1" s="1"/>
  <c r="V79" i="1"/>
  <c r="U121" i="1"/>
  <c r="V121" i="1" s="1"/>
  <c r="U51" i="1" l="1"/>
  <c r="V5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newmand</author>
    <author>Linda Ferguson</author>
    <author>Warren Luyt</author>
    <author>Nevill, Claire</author>
  </authors>
  <commentList>
    <comment ref="R2" authorId="0" shapeId="0" xr:uid="{00000000-0006-0000-0000-000001000000}">
      <text>
        <r>
          <rPr>
            <b/>
            <sz val="9"/>
            <color indexed="81"/>
            <rFont val="Tahoma"/>
            <family val="2"/>
          </rPr>
          <t xml:space="preserve">
                  Named Cell:  'LineBreak'
</t>
        </r>
        <r>
          <rPr>
            <sz val="9"/>
            <color indexed="81"/>
            <rFont val="Tahoma"/>
            <family val="2"/>
          </rPr>
          <t xml:space="preserve">
  This named cell is used in formulas to give a linebreak
   ( I used ALT + Enter )  in the text output of the 
    expression
  E.g.     =LineBreak   - give single blank line
           =LineBreak &amp; "Next Section"
                             - gives blank line before the text.
</t>
        </r>
      </text>
    </comment>
    <comment ref="S2" authorId="0" shapeId="0" xr:uid="{00000000-0006-0000-0000-000002000000}">
      <text>
        <r>
          <rPr>
            <b/>
            <sz val="9"/>
            <color indexed="81"/>
            <rFont val="Tahoma"/>
            <family val="2"/>
          </rPr>
          <t xml:space="preserve">
                  Named Cell:  'Indent'
</t>
        </r>
        <r>
          <rPr>
            <sz val="9"/>
            <color indexed="81"/>
            <rFont val="Tahoma"/>
            <family val="2"/>
          </rPr>
          <t xml:space="preserve">
  This named cell is used in formulas to give a space BEFORE TEXT APPEARS
To change just click in the cell and press the space bar as many times as required
</t>
        </r>
      </text>
    </comment>
    <comment ref="S4" authorId="0" shapeId="0" xr:uid="{00000000-0006-0000-0000-000003000000}">
      <text>
        <r>
          <rPr>
            <b/>
            <sz val="9"/>
            <color indexed="81"/>
            <rFont val="Tahoma"/>
            <family val="2"/>
          </rPr>
          <t>newmand:</t>
        </r>
        <r>
          <rPr>
            <sz val="9"/>
            <color indexed="81"/>
            <rFont val="Tahoma"/>
            <family val="2"/>
          </rPr>
          <t xml:space="preserve">
1 = not filled in
This uses the reference in the previous column to look up a Form cell to see whether it is Blank or Zero.
If so then a value of 1 appears
So you can count empty Form cells easily</t>
        </r>
      </text>
    </comment>
    <comment ref="C5" authorId="0" shapeId="0" xr:uid="{00000000-0006-0000-0000-000004000000}">
      <text>
        <r>
          <rPr>
            <sz val="10"/>
            <color indexed="81"/>
            <rFont val="Tahoma"/>
            <family val="2"/>
          </rPr>
          <t xml:space="preserve">USE DROPDOWN
</t>
        </r>
      </text>
    </comment>
    <comment ref="T5" authorId="0" shapeId="0" xr:uid="{00000000-0006-0000-0000-000005000000}">
      <text>
        <r>
          <rPr>
            <sz val="9"/>
            <color indexed="81"/>
            <rFont val="Tahoma"/>
            <family val="2"/>
          </rPr>
          <t>Missing Data item</t>
        </r>
      </text>
    </comment>
    <comment ref="T6" authorId="0" shapeId="0" xr:uid="{00000000-0006-0000-0000-000006000000}">
      <text>
        <r>
          <rPr>
            <sz val="9"/>
            <color indexed="81"/>
            <rFont val="Tahoma"/>
            <family val="2"/>
          </rPr>
          <t>Missing Data item</t>
        </r>
      </text>
    </comment>
    <comment ref="C7" authorId="0" shapeId="0" xr:uid="{00000000-0006-0000-0000-000007000000}">
      <text>
        <r>
          <rPr>
            <sz val="10"/>
            <color indexed="81"/>
            <rFont val="Tahoma"/>
            <family val="2"/>
          </rPr>
          <t xml:space="preserve">USE DROPDOWN
</t>
        </r>
      </text>
    </comment>
    <comment ref="T7" authorId="0" shapeId="0" xr:uid="{00000000-0006-0000-0000-000008000000}">
      <text>
        <r>
          <rPr>
            <sz val="9"/>
            <color indexed="81"/>
            <rFont val="Tahoma"/>
            <family val="2"/>
          </rPr>
          <t>Missing Data item</t>
        </r>
      </text>
    </comment>
    <comment ref="T8" authorId="0" shapeId="0" xr:uid="{00000000-0006-0000-0000-000009000000}">
      <text>
        <r>
          <rPr>
            <sz val="9"/>
            <color indexed="81"/>
            <rFont val="Tahoma"/>
            <family val="2"/>
          </rPr>
          <t>Missing Data item</t>
        </r>
      </text>
    </comment>
    <comment ref="T9" authorId="0" shapeId="0" xr:uid="{00000000-0006-0000-0000-00000A000000}">
      <text>
        <r>
          <rPr>
            <sz val="9"/>
            <color indexed="81"/>
            <rFont val="Tahoma"/>
            <family val="2"/>
          </rPr>
          <t xml:space="preserve">
Optional line break</t>
        </r>
      </text>
    </comment>
    <comment ref="T10" authorId="0" shapeId="0" xr:uid="{00000000-0006-0000-0000-00000B000000}">
      <text>
        <r>
          <rPr>
            <sz val="9"/>
            <color indexed="81"/>
            <rFont val="Tahoma"/>
            <family val="2"/>
          </rPr>
          <t>Missing Data item</t>
        </r>
      </text>
    </comment>
    <comment ref="T11" authorId="0" shapeId="0" xr:uid="{00000000-0006-0000-0000-00000C000000}">
      <text>
        <r>
          <rPr>
            <sz val="9"/>
            <color indexed="81"/>
            <rFont val="Tahoma"/>
            <family val="2"/>
          </rPr>
          <t>Missing Data item</t>
        </r>
      </text>
    </comment>
    <comment ref="T12" authorId="0" shapeId="0" xr:uid="{00000000-0006-0000-0000-00000D000000}">
      <text>
        <r>
          <rPr>
            <sz val="9"/>
            <color indexed="81"/>
            <rFont val="Tahoma"/>
            <family val="2"/>
          </rPr>
          <t>Missing Data item</t>
        </r>
      </text>
    </comment>
    <comment ref="T13" authorId="0" shapeId="0" xr:uid="{00000000-0006-0000-0000-00000E000000}">
      <text>
        <r>
          <rPr>
            <sz val="9"/>
            <color indexed="81"/>
            <rFont val="Tahoma"/>
            <family val="2"/>
          </rPr>
          <t>Missing Data item</t>
        </r>
      </text>
    </comment>
    <comment ref="T14" authorId="0" shapeId="0" xr:uid="{00000000-0006-0000-0000-00000F000000}">
      <text>
        <r>
          <rPr>
            <sz val="9"/>
            <color indexed="81"/>
            <rFont val="Tahoma"/>
            <family val="2"/>
          </rPr>
          <t>Missing Data item</t>
        </r>
      </text>
    </comment>
    <comment ref="D16" authorId="1" shapeId="0" xr:uid="{00000000-0006-0000-0000-000010000000}">
      <text>
        <r>
          <rPr>
            <sz val="9"/>
            <color indexed="81"/>
            <rFont val="Tahoma"/>
            <family val="2"/>
          </rPr>
          <t xml:space="preserve">18 service organisation types are listed.
Please use "other" if the ones listed are not suitable.
</t>
        </r>
      </text>
    </comment>
    <comment ref="M17" authorId="0" shapeId="0" xr:uid="{00000000-0006-0000-0000-000011000000}">
      <text>
        <r>
          <rPr>
            <b/>
            <sz val="9"/>
            <color indexed="81"/>
            <rFont val="Tahoma"/>
            <family val="2"/>
          </rPr>
          <t xml:space="preserve">      Others
</t>
        </r>
        <r>
          <rPr>
            <sz val="9"/>
            <color indexed="81"/>
            <rFont val="Tahoma"/>
            <family val="2"/>
          </rPr>
          <t xml:space="preserve">
0 = Both Blank
1 = Both filled
2 = Explanation missing
3= Explanation but not 'other'</t>
        </r>
      </text>
    </comment>
    <comment ref="Q17" authorId="0" shapeId="0" xr:uid="{00000000-0006-0000-0000-000012000000}">
      <text>
        <r>
          <rPr>
            <b/>
            <sz val="9"/>
            <color indexed="81"/>
            <rFont val="Tahoma"/>
            <family val="2"/>
          </rPr>
          <t>newmand:</t>
        </r>
        <r>
          <rPr>
            <sz val="9"/>
            <color indexed="81"/>
            <rFont val="Tahoma"/>
            <family val="2"/>
          </rPr>
          <t xml:space="preserve">
0 = Both Blank
1 = Both filled
2 = Organisation missing
3= Type missing</t>
        </r>
      </text>
    </comment>
    <comment ref="T17" authorId="0" shapeId="0" xr:uid="{00000000-0006-0000-0000-000013000000}">
      <text>
        <r>
          <rPr>
            <sz val="9"/>
            <color indexed="81"/>
            <rFont val="Tahoma"/>
            <family val="2"/>
          </rPr>
          <t>No organisations entered</t>
        </r>
      </text>
    </comment>
    <comment ref="D18" authorId="0" shapeId="0" xr:uid="{00000000-0006-0000-0000-000014000000}">
      <text>
        <r>
          <rPr>
            <sz val="10"/>
            <color indexed="81"/>
            <rFont val="Tahoma"/>
            <family val="2"/>
          </rPr>
          <t xml:space="preserve">USE DROPDOWN
</t>
        </r>
      </text>
    </comment>
    <comment ref="T18" authorId="0" shapeId="0" xr:uid="{00000000-0006-0000-0000-000015000000}">
      <text>
        <r>
          <rPr>
            <sz val="9"/>
            <color indexed="81"/>
            <rFont val="Tahoma"/>
            <family val="2"/>
          </rPr>
          <t>Less than 3 organisations</t>
        </r>
      </text>
    </comment>
    <comment ref="D19" authorId="0" shapeId="0" xr:uid="{00000000-0006-0000-0000-000016000000}">
      <text>
        <r>
          <rPr>
            <sz val="10"/>
            <color indexed="81"/>
            <rFont val="Tahoma"/>
            <family val="2"/>
          </rPr>
          <t xml:space="preserve">USE DROPDOWN
</t>
        </r>
      </text>
    </comment>
    <comment ref="T19" authorId="0" shapeId="0" xr:uid="{00000000-0006-0000-0000-000017000000}">
      <text>
        <r>
          <rPr>
            <sz val="9"/>
            <color indexed="81"/>
            <rFont val="Tahoma"/>
            <family val="2"/>
          </rPr>
          <t>Prompt to check for organisations recorded</t>
        </r>
        <r>
          <rPr>
            <b/>
            <sz val="9"/>
            <color indexed="81"/>
            <rFont val="Tahoma"/>
            <family val="2"/>
          </rPr>
          <t xml:space="preserve">
</t>
        </r>
      </text>
    </comment>
    <comment ref="D20" authorId="0" shapeId="0" xr:uid="{00000000-0006-0000-0000-000018000000}">
      <text>
        <r>
          <rPr>
            <sz val="10"/>
            <color indexed="81"/>
            <rFont val="Tahoma"/>
            <family val="2"/>
          </rPr>
          <t xml:space="preserve">USE DROPDOWN
</t>
        </r>
      </text>
    </comment>
    <comment ref="D21" authorId="0" shapeId="0" xr:uid="{00000000-0006-0000-0000-000019000000}">
      <text>
        <r>
          <rPr>
            <sz val="10"/>
            <color indexed="81"/>
            <rFont val="Tahoma"/>
            <family val="2"/>
          </rPr>
          <t xml:space="preserve">USE DROPDOWN
</t>
        </r>
      </text>
    </comment>
    <comment ref="T21" authorId="0" shapeId="0" xr:uid="{00000000-0006-0000-0000-00001A000000}">
      <text>
        <r>
          <rPr>
            <b/>
            <sz val="9"/>
            <color indexed="81"/>
            <rFont val="Tahoma"/>
            <family val="2"/>
          </rPr>
          <t>newmand:</t>
        </r>
        <r>
          <rPr>
            <sz val="9"/>
            <color indexed="81"/>
            <rFont val="Tahoma"/>
            <family val="2"/>
          </rPr>
          <t xml:space="preserve">
Calculated
</t>
        </r>
      </text>
    </comment>
    <comment ref="D22" authorId="0" shapeId="0" xr:uid="{00000000-0006-0000-0000-00001B000000}">
      <text>
        <r>
          <rPr>
            <sz val="10"/>
            <color indexed="81"/>
            <rFont val="Tahoma"/>
            <family val="2"/>
          </rPr>
          <t xml:space="preserve">USE DROPDOWN
</t>
        </r>
      </text>
    </comment>
    <comment ref="T22" authorId="0" shapeId="0" xr:uid="{00000000-0006-0000-0000-00001C000000}">
      <text>
        <r>
          <rPr>
            <b/>
            <sz val="9"/>
            <color indexed="81"/>
            <rFont val="Tahoma"/>
            <family val="2"/>
          </rPr>
          <t>newmand:</t>
        </r>
        <r>
          <rPr>
            <sz val="9"/>
            <color indexed="81"/>
            <rFont val="Tahoma"/>
            <family val="2"/>
          </rPr>
          <t xml:space="preserve">
Calculation</t>
        </r>
      </text>
    </comment>
    <comment ref="D23" authorId="0" shapeId="0" xr:uid="{00000000-0006-0000-0000-00001D000000}">
      <text>
        <r>
          <rPr>
            <sz val="10"/>
            <color indexed="81"/>
            <rFont val="Tahoma"/>
            <family val="2"/>
          </rPr>
          <t xml:space="preserve">USE DROPDOWN
</t>
        </r>
      </text>
    </comment>
    <comment ref="D24" authorId="0" shapeId="0" xr:uid="{00000000-0006-0000-0000-00001E000000}">
      <text>
        <r>
          <rPr>
            <sz val="10"/>
            <color indexed="81"/>
            <rFont val="Tahoma"/>
            <family val="2"/>
          </rPr>
          <t xml:space="preserve">USE DROPDOWN
</t>
        </r>
      </text>
    </comment>
    <comment ref="D25" authorId="0" shapeId="0" xr:uid="{00000000-0006-0000-0000-00001F000000}">
      <text>
        <r>
          <rPr>
            <sz val="10"/>
            <color indexed="81"/>
            <rFont val="Tahoma"/>
            <family val="2"/>
          </rPr>
          <t xml:space="preserve">USE DROPDOWN
</t>
        </r>
      </text>
    </comment>
    <comment ref="D26" authorId="0" shapeId="0" xr:uid="{00000000-0006-0000-0000-000020000000}">
      <text>
        <r>
          <rPr>
            <sz val="10"/>
            <color indexed="81"/>
            <rFont val="Tahoma"/>
            <family val="2"/>
          </rPr>
          <t xml:space="preserve">USE DROPDOWN
</t>
        </r>
      </text>
    </comment>
    <comment ref="D27" authorId="0" shapeId="0" xr:uid="{00000000-0006-0000-0000-000021000000}">
      <text>
        <r>
          <rPr>
            <sz val="10"/>
            <color indexed="81"/>
            <rFont val="Tahoma"/>
            <family val="2"/>
          </rPr>
          <t xml:space="preserve">USE DROPDOWN
</t>
        </r>
      </text>
    </comment>
    <comment ref="D28" authorId="0" shapeId="0" xr:uid="{00000000-0006-0000-0000-000022000000}">
      <text>
        <r>
          <rPr>
            <sz val="10"/>
            <color indexed="81"/>
            <rFont val="Tahoma"/>
            <family val="2"/>
          </rPr>
          <t xml:space="preserve">USE DROPDOWN
</t>
        </r>
      </text>
    </comment>
    <comment ref="D29" authorId="0" shapeId="0" xr:uid="{00000000-0006-0000-0000-000023000000}">
      <text>
        <r>
          <rPr>
            <sz val="10"/>
            <color indexed="81"/>
            <rFont val="Tahoma"/>
            <family val="2"/>
          </rPr>
          <t xml:space="preserve">USE DROPDOWN
</t>
        </r>
      </text>
    </comment>
    <comment ref="D30" authorId="0" shapeId="0" xr:uid="{00000000-0006-0000-0000-000024000000}">
      <text>
        <r>
          <rPr>
            <sz val="10"/>
            <color indexed="81"/>
            <rFont val="Tahoma"/>
            <family val="2"/>
          </rPr>
          <t xml:space="preserve">USE DROPDOWN
</t>
        </r>
      </text>
    </comment>
    <comment ref="D31" authorId="0" shapeId="0" xr:uid="{00000000-0006-0000-0000-000025000000}">
      <text>
        <r>
          <rPr>
            <sz val="10"/>
            <color indexed="81"/>
            <rFont val="Tahoma"/>
            <family val="2"/>
          </rPr>
          <t xml:space="preserve">USE DROPDOWN
</t>
        </r>
      </text>
    </comment>
    <comment ref="D32" authorId="0" shapeId="0" xr:uid="{00000000-0006-0000-0000-000026000000}">
      <text>
        <r>
          <rPr>
            <sz val="10"/>
            <color indexed="81"/>
            <rFont val="Tahoma"/>
            <family val="2"/>
          </rPr>
          <t xml:space="preserve">USE DROPDOWN
</t>
        </r>
      </text>
    </comment>
    <comment ref="E37" authorId="1" shapeId="0" xr:uid="{00000000-0006-0000-0000-000027000000}">
      <text>
        <r>
          <rPr>
            <b/>
            <sz val="8"/>
            <color indexed="81"/>
            <rFont val="Tahoma"/>
            <family val="2"/>
          </rPr>
          <t>To calculate WTE</t>
        </r>
        <r>
          <rPr>
            <sz val="8"/>
            <color indexed="81"/>
            <rFont val="Tahoma"/>
            <family val="2"/>
          </rPr>
          <t xml:space="preserve"> 
divide no. of hours worked by 37.5 hours.
e.g. Jane works 25 hours per week so 
25/37.5 = 0.67 WTE</t>
        </r>
      </text>
    </comment>
    <comment ref="G37" authorId="1" shapeId="0" xr:uid="{D707E2BC-D77A-4E12-8A35-B2A67F1587CD}">
      <text>
        <r>
          <rPr>
            <b/>
            <sz val="8"/>
            <color indexed="81"/>
            <rFont val="Tahoma"/>
            <family val="2"/>
          </rPr>
          <t>To calculate WTE</t>
        </r>
        <r>
          <rPr>
            <sz val="8"/>
            <color indexed="81"/>
            <rFont val="Tahoma"/>
            <family val="2"/>
          </rPr>
          <t xml:space="preserve"> 
divide no. of hours worked by 37.5 hours.
e.g. Jane works 25 hours per week so 
25/37.5 = 0.67 WTE</t>
        </r>
      </text>
    </comment>
    <comment ref="T37" authorId="0" shapeId="0" xr:uid="{00000000-0006-0000-0000-000028000000}">
      <text>
        <r>
          <rPr>
            <b/>
            <sz val="9"/>
            <color indexed="81"/>
            <rFont val="Tahoma"/>
            <family val="2"/>
          </rPr>
          <t>newmand:</t>
        </r>
        <r>
          <rPr>
            <sz val="9"/>
            <color indexed="81"/>
            <rFont val="Tahoma"/>
            <family val="2"/>
          </rPr>
          <t xml:space="preserve">
Calculation</t>
        </r>
      </text>
    </comment>
    <comment ref="E40" authorId="0" shapeId="0" xr:uid="{00000000-0006-0000-0000-000029000000}">
      <text>
        <r>
          <rPr>
            <b/>
            <sz val="9"/>
            <color indexed="81"/>
            <rFont val="Tahoma"/>
            <family val="2"/>
          </rPr>
          <t xml:space="preserve">Un-Qualified
</t>
        </r>
        <r>
          <rPr>
            <sz val="9"/>
            <color indexed="81"/>
            <rFont val="Tahoma"/>
            <family val="2"/>
          </rPr>
          <t xml:space="preserve">
 Don't include Apprentices here</t>
        </r>
      </text>
    </comment>
    <comment ref="G40" authorId="0" shapeId="0" xr:uid="{A9463BAC-96DE-4A76-AEB6-0EAEA2820F7D}">
      <text>
        <r>
          <rPr>
            <b/>
            <sz val="9"/>
            <color indexed="81"/>
            <rFont val="Tahoma"/>
            <family val="2"/>
          </rPr>
          <t xml:space="preserve">Un-Qualified
</t>
        </r>
        <r>
          <rPr>
            <sz val="9"/>
            <color indexed="81"/>
            <rFont val="Tahoma"/>
            <family val="2"/>
          </rPr>
          <t xml:space="preserve">
 Don't include Apprentices here</t>
        </r>
      </text>
    </comment>
    <comment ref="E43" authorId="1" shapeId="0" xr:uid="{00000000-0006-0000-0000-00002A000000}">
      <text>
        <r>
          <rPr>
            <b/>
            <sz val="8"/>
            <color indexed="81"/>
            <rFont val="Tahoma"/>
            <family val="2"/>
          </rPr>
          <t>To calculate WTE</t>
        </r>
        <r>
          <rPr>
            <sz val="8"/>
            <color indexed="81"/>
            <rFont val="Tahoma"/>
            <family val="2"/>
          </rPr>
          <t xml:space="preserve"> 
divide no. of hours worked by 37.5 hours.
e.g. Jane works 25 hours per week so 
25/37.5 = 0.67 WTE</t>
        </r>
      </text>
    </comment>
    <comment ref="E44" authorId="0" shapeId="0" xr:uid="{00000000-0006-0000-0000-00002B000000}">
      <text>
        <r>
          <rPr>
            <b/>
            <sz val="9"/>
            <color indexed="81"/>
            <rFont val="Tahoma"/>
            <family val="2"/>
          </rPr>
          <t>Apprentices:</t>
        </r>
        <r>
          <rPr>
            <sz val="9"/>
            <color indexed="81"/>
            <rFont val="Tahoma"/>
            <family val="2"/>
          </rPr>
          <t xml:space="preserve">
This is </t>
        </r>
        <r>
          <rPr>
            <b/>
            <sz val="9"/>
            <color indexed="81"/>
            <rFont val="Tahoma"/>
            <family val="2"/>
          </rPr>
          <t>W</t>
        </r>
        <r>
          <rPr>
            <sz val="9"/>
            <color indexed="81"/>
            <rFont val="Tahoma"/>
            <family val="2"/>
          </rPr>
          <t xml:space="preserve">hole </t>
        </r>
        <r>
          <rPr>
            <b/>
            <sz val="9"/>
            <color indexed="81"/>
            <rFont val="Tahoma"/>
            <family val="2"/>
          </rPr>
          <t>T</t>
        </r>
        <r>
          <rPr>
            <sz val="9"/>
            <color indexed="81"/>
            <rFont val="Tahoma"/>
            <family val="2"/>
          </rPr>
          <t xml:space="preserve">ime </t>
        </r>
        <r>
          <rPr>
            <b/>
            <sz val="9"/>
            <color indexed="81"/>
            <rFont val="Tahoma"/>
            <family val="2"/>
          </rPr>
          <t>E</t>
        </r>
        <r>
          <rPr>
            <sz val="9"/>
            <color indexed="81"/>
            <rFont val="Tahoma"/>
            <family val="2"/>
          </rPr>
          <t>quivalents 
-not a person count-</t>
        </r>
      </text>
    </comment>
    <comment ref="E52" authorId="1" shapeId="0" xr:uid="{00000000-0006-0000-0000-00002C000000}">
      <text>
        <r>
          <rPr>
            <b/>
            <sz val="8"/>
            <color indexed="81"/>
            <rFont val="Tahoma"/>
            <family val="2"/>
          </rPr>
          <t xml:space="preserve">To calculate WTE 
</t>
        </r>
        <r>
          <rPr>
            <sz val="8"/>
            <color indexed="81"/>
            <rFont val="Tahoma"/>
            <family val="2"/>
          </rPr>
          <t xml:space="preserve">divide no. of hours worked by </t>
        </r>
        <r>
          <rPr>
            <sz val="8"/>
            <color indexed="81"/>
            <rFont val="Tahoma"/>
            <family val="2"/>
          </rPr>
          <t xml:space="preserve">37.5 hours.
e.g. Jane works 25 hours per week so 
25/37.5 = 0.67 WTE
</t>
        </r>
      </text>
    </comment>
    <comment ref="F52" authorId="1" shapeId="0" xr:uid="{2C586284-9168-4CDE-B88A-76856205CE4D}">
      <text>
        <r>
          <rPr>
            <b/>
            <sz val="8"/>
            <color indexed="81"/>
            <rFont val="Tahoma"/>
            <family val="2"/>
          </rPr>
          <t xml:space="preserve">To calculate WTE </t>
        </r>
        <r>
          <rPr>
            <sz val="8"/>
            <color indexed="81"/>
            <rFont val="Tahoma"/>
            <family val="2"/>
          </rPr>
          <t xml:space="preserve">
divide no. of hours worked by 37.5 hours.
e.g. Jane works 25 hours per week so 
25/37.5 = 0.67 WTE
</t>
        </r>
      </text>
    </comment>
    <comment ref="G52" authorId="1" shapeId="0" xr:uid="{00000000-0006-0000-0000-00002D000000}">
      <text>
        <r>
          <rPr>
            <b/>
            <sz val="8"/>
            <color indexed="81"/>
            <rFont val="Tahoma"/>
            <family val="2"/>
          </rPr>
          <t xml:space="preserve">To calculate WTE </t>
        </r>
        <r>
          <rPr>
            <sz val="8"/>
            <color indexed="81"/>
            <rFont val="Tahoma"/>
            <family val="2"/>
          </rPr>
          <t xml:space="preserve">
divide no. of hours worked by 37.5 hours.
e.g. Jane works 25 hours per week so 
25/37.5 = 0.67 WTE
</t>
        </r>
      </text>
    </comment>
    <comment ref="E53" authorId="0" shapeId="0" xr:uid="{00000000-0006-0000-0000-00002E000000}">
      <text>
        <r>
          <rPr>
            <sz val="9"/>
            <color indexed="81"/>
            <rFont val="Tahoma"/>
            <family val="2"/>
          </rPr>
          <t xml:space="preserve">INCLUDE ANY VACANCIES
in this figure
</t>
        </r>
      </text>
    </comment>
    <comment ref="F53" authorId="2" shapeId="0" xr:uid="{EB38BDB0-F8A2-406C-9CE2-C801D6285BAD}">
      <text>
        <r>
          <rPr>
            <sz val="9"/>
            <color indexed="81"/>
            <rFont val="Tahoma"/>
            <family val="2"/>
          </rPr>
          <t>WTE ON LKS ACTIVITY</t>
        </r>
      </text>
    </comment>
    <comment ref="G53" authorId="0" shapeId="0" xr:uid="{00000000-0006-0000-0000-00002F000000}">
      <text>
        <r>
          <rPr>
            <sz val="9"/>
            <color indexed="81"/>
            <rFont val="Tahoma"/>
            <family val="2"/>
          </rPr>
          <t>VACANCIES
Only</t>
        </r>
      </text>
    </comment>
    <comment ref="H53" authorId="0" shapeId="0" xr:uid="{00000000-0006-0000-0000-000030000000}">
      <text>
        <r>
          <rPr>
            <sz val="9"/>
            <color indexed="81"/>
            <rFont val="Tahoma"/>
            <family val="2"/>
          </rPr>
          <t xml:space="preserve">INCLUDE ANY VACANCIES
in this figure
</t>
        </r>
      </text>
    </comment>
    <comment ref="Q53" authorId="0" shapeId="0" xr:uid="{00000000-0006-0000-0000-000031000000}">
      <text>
        <r>
          <rPr>
            <b/>
            <sz val="9"/>
            <color indexed="81"/>
            <rFont val="Tahoma"/>
            <family val="2"/>
          </rPr>
          <t xml:space="preserve">       WTEs &amp; HeadCounts
</t>
        </r>
        <r>
          <rPr>
            <sz val="9"/>
            <color indexed="81"/>
            <rFont val="Tahoma"/>
            <family val="2"/>
          </rPr>
          <t xml:space="preserve">
0 : No entries
1: WTE no Head count
2: No WTE but Headcount
3: Both WTE &amp; Headcount
4: WTE Exceeds Headcount</t>
        </r>
      </text>
    </comment>
    <comment ref="E54" authorId="2" shapeId="0" xr:uid="{BC41A4BA-9BDE-40C4-9448-D6BA8E2453B7}">
      <text>
        <r>
          <rPr>
            <sz val="9"/>
            <color indexed="81"/>
            <rFont val="Tahoma"/>
            <family val="2"/>
          </rPr>
          <t xml:space="preserve">INCLUDE ANY VACANCIES
in this figure
</t>
        </r>
      </text>
    </comment>
    <comment ref="F54" authorId="2" shapeId="0" xr:uid="{BBA23A4D-8822-4FCA-B8EF-8F8901615B5E}">
      <text>
        <r>
          <rPr>
            <sz val="9"/>
            <color indexed="81"/>
            <rFont val="Tahoma"/>
            <family val="2"/>
          </rPr>
          <t>WTE ON LKS ACTIVITY</t>
        </r>
      </text>
    </comment>
    <comment ref="G54" authorId="2" shapeId="0" xr:uid="{99ABE19F-1935-44CF-9F16-07F1BE750279}">
      <text>
        <r>
          <rPr>
            <sz val="9"/>
            <color indexed="81"/>
            <rFont val="Tahoma"/>
            <family val="2"/>
          </rPr>
          <t>VACANCIES
Only</t>
        </r>
      </text>
    </comment>
    <comment ref="H54" authorId="2" shapeId="0" xr:uid="{3E407792-45F8-46BD-8D1F-7466DFC0BC6D}">
      <text>
        <r>
          <rPr>
            <sz val="9"/>
            <color indexed="81"/>
            <rFont val="Tahoma"/>
            <family val="2"/>
          </rPr>
          <t xml:space="preserve">INCLUDE ANY VACANCIES
in this figure
</t>
        </r>
      </text>
    </comment>
    <comment ref="E55" authorId="0" shapeId="0" xr:uid="{00000000-0006-0000-0000-000032000000}">
      <text>
        <r>
          <rPr>
            <sz val="9"/>
            <color indexed="81"/>
            <rFont val="Tahoma"/>
            <family val="2"/>
          </rPr>
          <t xml:space="preserve">INCLUDE ANY VACANCIES
in this figure
</t>
        </r>
      </text>
    </comment>
    <comment ref="F55" authorId="2" shapeId="0" xr:uid="{F6EB3DB8-6E24-4F7B-80CC-39F740F7523E}">
      <text>
        <r>
          <rPr>
            <sz val="9"/>
            <color indexed="81"/>
            <rFont val="Tahoma"/>
            <family val="2"/>
          </rPr>
          <t>WTE ON LKS ACTIVITY</t>
        </r>
      </text>
    </comment>
    <comment ref="G55" authorId="0" shapeId="0" xr:uid="{00000000-0006-0000-0000-000033000000}">
      <text>
        <r>
          <rPr>
            <sz val="9"/>
            <color indexed="81"/>
            <rFont val="Tahoma"/>
            <family val="2"/>
          </rPr>
          <t>VACANCIES
Only</t>
        </r>
      </text>
    </comment>
    <comment ref="H55" authorId="0" shapeId="0" xr:uid="{00000000-0006-0000-0000-000034000000}">
      <text>
        <r>
          <rPr>
            <sz val="9"/>
            <color indexed="81"/>
            <rFont val="Tahoma"/>
            <family val="2"/>
          </rPr>
          <t xml:space="preserve">INCLUDE ANY VACANCIES
in this figure
</t>
        </r>
      </text>
    </comment>
    <comment ref="E56" authorId="0" shapeId="0" xr:uid="{00000000-0006-0000-0000-000035000000}">
      <text>
        <r>
          <rPr>
            <sz val="9"/>
            <color indexed="81"/>
            <rFont val="Tahoma"/>
            <family val="2"/>
          </rPr>
          <t xml:space="preserve">INCLUDE ANY VACANCIES
in this figure
</t>
        </r>
      </text>
    </comment>
    <comment ref="F56" authorId="2" shapeId="0" xr:uid="{071C613C-F1E5-4EB1-8D4D-4DFEA905D2BA}">
      <text>
        <r>
          <rPr>
            <sz val="9"/>
            <color indexed="81"/>
            <rFont val="Tahoma"/>
            <family val="2"/>
          </rPr>
          <t>WTE ON LKS ACTIVITY</t>
        </r>
      </text>
    </comment>
    <comment ref="G56" authorId="0" shapeId="0" xr:uid="{00000000-0006-0000-0000-000036000000}">
      <text>
        <r>
          <rPr>
            <sz val="9"/>
            <color indexed="81"/>
            <rFont val="Tahoma"/>
            <family val="2"/>
          </rPr>
          <t>VACANCIES
Only</t>
        </r>
      </text>
    </comment>
    <comment ref="H56" authorId="0" shapeId="0" xr:uid="{00000000-0006-0000-0000-000037000000}">
      <text>
        <r>
          <rPr>
            <sz val="9"/>
            <color indexed="81"/>
            <rFont val="Tahoma"/>
            <family val="2"/>
          </rPr>
          <t xml:space="preserve">INCLUDE ANY VACANCIES
in this figure
</t>
        </r>
      </text>
    </comment>
    <comment ref="E57" authorId="0" shapeId="0" xr:uid="{00000000-0006-0000-0000-000038000000}">
      <text>
        <r>
          <rPr>
            <sz val="9"/>
            <color indexed="81"/>
            <rFont val="Tahoma"/>
            <family val="2"/>
          </rPr>
          <t xml:space="preserve">INCLUDE ANY VACANCIES
in this figure
</t>
        </r>
      </text>
    </comment>
    <comment ref="F57" authorId="2" shapeId="0" xr:uid="{4DA5A79D-8871-49A3-816E-9A195A5BC580}">
      <text>
        <r>
          <rPr>
            <sz val="9"/>
            <color indexed="81"/>
            <rFont val="Tahoma"/>
            <family val="2"/>
          </rPr>
          <t>WTE ON LKS ACTIVITY</t>
        </r>
      </text>
    </comment>
    <comment ref="G57" authorId="0" shapeId="0" xr:uid="{00000000-0006-0000-0000-000039000000}">
      <text>
        <r>
          <rPr>
            <sz val="9"/>
            <color indexed="81"/>
            <rFont val="Tahoma"/>
            <family val="2"/>
          </rPr>
          <t>VACANCIES
Only</t>
        </r>
      </text>
    </comment>
    <comment ref="H57" authorId="0" shapeId="0" xr:uid="{00000000-0006-0000-0000-00003A000000}">
      <text>
        <r>
          <rPr>
            <sz val="9"/>
            <color indexed="81"/>
            <rFont val="Tahoma"/>
            <family val="2"/>
          </rPr>
          <t xml:space="preserve">INCLUDE ANY VACANCIES
in this figure
</t>
        </r>
      </text>
    </comment>
    <comment ref="E58" authorId="0" shapeId="0" xr:uid="{00000000-0006-0000-0000-00003B000000}">
      <text>
        <r>
          <rPr>
            <sz val="9"/>
            <color indexed="81"/>
            <rFont val="Tahoma"/>
            <family val="2"/>
          </rPr>
          <t xml:space="preserve">INCLUDE ANY VACANCIES
in this figure
</t>
        </r>
      </text>
    </comment>
    <comment ref="F58" authorId="2" shapeId="0" xr:uid="{B117A8D4-5F64-4D55-B391-191C9A9F3E92}">
      <text>
        <r>
          <rPr>
            <sz val="9"/>
            <color indexed="81"/>
            <rFont val="Tahoma"/>
            <family val="2"/>
          </rPr>
          <t>WTE ON LKS ACTIVITY</t>
        </r>
      </text>
    </comment>
    <comment ref="G58" authorId="0" shapeId="0" xr:uid="{00000000-0006-0000-0000-00003C000000}">
      <text>
        <r>
          <rPr>
            <sz val="9"/>
            <color indexed="81"/>
            <rFont val="Tahoma"/>
            <family val="2"/>
          </rPr>
          <t>VACANCIES
Only</t>
        </r>
      </text>
    </comment>
    <comment ref="H58" authorId="0" shapeId="0" xr:uid="{00000000-0006-0000-0000-00003D000000}">
      <text>
        <r>
          <rPr>
            <sz val="9"/>
            <color indexed="81"/>
            <rFont val="Tahoma"/>
            <family val="2"/>
          </rPr>
          <t xml:space="preserve">INCLUDE ANY VACANCIES
in this figure
</t>
        </r>
      </text>
    </comment>
    <comment ref="E59" authorId="0" shapeId="0" xr:uid="{00000000-0006-0000-0000-00003E000000}">
      <text>
        <r>
          <rPr>
            <sz val="9"/>
            <color indexed="81"/>
            <rFont val="Tahoma"/>
            <family val="2"/>
          </rPr>
          <t xml:space="preserve">INCLUDE ANY VACANCIES
in this figure
</t>
        </r>
      </text>
    </comment>
    <comment ref="F59" authorId="2" shapeId="0" xr:uid="{765AC35B-FD05-4C5B-9F41-8D1FCECC8B01}">
      <text>
        <r>
          <rPr>
            <sz val="9"/>
            <color indexed="81"/>
            <rFont val="Tahoma"/>
            <family val="2"/>
          </rPr>
          <t>WTE ON LKS ACTIVITY</t>
        </r>
      </text>
    </comment>
    <comment ref="G59" authorId="0" shapeId="0" xr:uid="{00000000-0006-0000-0000-00003F000000}">
      <text>
        <r>
          <rPr>
            <sz val="9"/>
            <color indexed="81"/>
            <rFont val="Tahoma"/>
            <family val="2"/>
          </rPr>
          <t>VACANCIES
Only</t>
        </r>
      </text>
    </comment>
    <comment ref="H59" authorId="0" shapeId="0" xr:uid="{00000000-0006-0000-0000-000040000000}">
      <text>
        <r>
          <rPr>
            <sz val="9"/>
            <color indexed="81"/>
            <rFont val="Tahoma"/>
            <family val="2"/>
          </rPr>
          <t xml:space="preserve">INCLUDE ANY VACANCIES
in this figure
</t>
        </r>
      </text>
    </comment>
    <comment ref="Q62" authorId="0" shapeId="0" xr:uid="{00000000-0006-0000-0000-000041000000}">
      <text>
        <r>
          <rPr>
            <b/>
            <sz val="9"/>
            <color indexed="81"/>
            <rFont val="Tahoma"/>
            <family val="2"/>
          </rPr>
          <t xml:space="preserve">      Vacancies 
WTE &amp; HeadCounts
</t>
        </r>
        <r>
          <rPr>
            <sz val="9"/>
            <color indexed="81"/>
            <rFont val="Tahoma"/>
            <family val="2"/>
          </rPr>
          <t xml:space="preserve">
0 : No entries
1: WTE no Head count
2: No WTE but Headcount
3: Both WTE &amp; Headcount
4: WTE Exceeds Headcount
</t>
        </r>
      </text>
    </comment>
    <comment ref="T63" authorId="0" shapeId="0" xr:uid="{00000000-0006-0000-0000-000042000000}">
      <text>
        <r>
          <rPr>
            <sz val="9"/>
            <color indexed="81"/>
            <rFont val="Tahoma"/>
            <family val="2"/>
          </rPr>
          <t xml:space="preserve">No data entered
</t>
        </r>
      </text>
    </comment>
    <comment ref="T64" authorId="0" shapeId="0" xr:uid="{00000000-0006-0000-0000-000043000000}">
      <text>
        <r>
          <rPr>
            <sz val="9"/>
            <color indexed="81"/>
            <rFont val="Tahoma"/>
            <family val="2"/>
          </rPr>
          <t xml:space="preserve">Headcount calculated to Zero
</t>
        </r>
      </text>
    </comment>
    <comment ref="E65" authorId="3" shapeId="0" xr:uid="{00000000-0006-0000-0000-000044000000}">
      <text>
        <r>
          <rPr>
            <b/>
            <sz val="8"/>
            <color indexed="81"/>
            <rFont val="Tahoma"/>
            <family val="2"/>
          </rPr>
          <t xml:space="preserve">To calculate WTE 
</t>
        </r>
        <r>
          <rPr>
            <sz val="8"/>
            <color indexed="81"/>
            <rFont val="Tahoma"/>
            <family val="2"/>
          </rPr>
          <t>divide no. of hours worked by 37.5 hours.
e.g. Jane works 25 hours per week so 
25/37.5 = 0.67 WTE</t>
        </r>
        <r>
          <rPr>
            <sz val="9"/>
            <color indexed="81"/>
            <rFont val="Tahoma"/>
            <family val="2"/>
          </rPr>
          <t xml:space="preserve">
</t>
        </r>
      </text>
    </comment>
    <comment ref="T65" authorId="0" shapeId="0" xr:uid="{00000000-0006-0000-0000-000045000000}">
      <text>
        <r>
          <rPr>
            <sz val="9"/>
            <color indexed="81"/>
            <rFont val="Tahoma"/>
            <family val="2"/>
          </rPr>
          <t xml:space="preserve">Headcount Negative
</t>
        </r>
      </text>
    </comment>
    <comment ref="T66" authorId="0" shapeId="0" xr:uid="{00000000-0006-0000-0000-000046000000}">
      <text>
        <r>
          <rPr>
            <sz val="9"/>
            <color indexed="81"/>
            <rFont val="Tahoma"/>
            <family val="2"/>
          </rPr>
          <t xml:space="preserve">Headcount Negative
</t>
        </r>
      </text>
    </comment>
    <comment ref="T67" authorId="0" shapeId="0" xr:uid="{00000000-0006-0000-0000-000047000000}">
      <text>
        <r>
          <rPr>
            <sz val="9"/>
            <color indexed="81"/>
            <rFont val="Tahoma"/>
            <family val="2"/>
          </rPr>
          <t xml:space="preserve"> WTE vacancies present but no Headcount vacancies
</t>
        </r>
      </text>
    </comment>
    <comment ref="T68" authorId="0" shapeId="0" xr:uid="{00000000-0006-0000-0000-000048000000}">
      <text>
        <r>
          <rPr>
            <sz val="9"/>
            <color indexed="81"/>
            <rFont val="Tahoma"/>
            <family val="2"/>
          </rPr>
          <t xml:space="preserve">No WTE vacancies but Headcount vacancies
</t>
        </r>
      </text>
    </comment>
    <comment ref="R73" authorId="0" shapeId="0" xr:uid="{00000000-0006-0000-0000-000049000000}">
      <text>
        <r>
          <rPr>
            <b/>
            <sz val="9"/>
            <color indexed="81"/>
            <rFont val="Tahoma"/>
            <family val="2"/>
          </rPr>
          <t>Calculated</t>
        </r>
        <r>
          <rPr>
            <sz val="9"/>
            <color indexed="81"/>
            <rFont val="Tahoma"/>
            <family val="2"/>
          </rPr>
          <t xml:space="preserve">
Cell with</t>
        </r>
        <r>
          <rPr>
            <u/>
            <sz val="9"/>
            <color indexed="81"/>
            <rFont val="Tahoma"/>
            <family val="2"/>
          </rPr>
          <t xml:space="preserve"> first</t>
        </r>
        <r>
          <rPr>
            <sz val="9"/>
            <color indexed="81"/>
            <rFont val="Tahoma"/>
            <family val="2"/>
          </rPr>
          <t xml:space="preserve"> occurrence of this error</t>
        </r>
      </text>
    </comment>
    <comment ref="R74" authorId="0" shapeId="0" xr:uid="{00000000-0006-0000-0000-00004A000000}">
      <text>
        <r>
          <rPr>
            <b/>
            <sz val="9"/>
            <color indexed="81"/>
            <rFont val="Tahoma"/>
            <family val="2"/>
          </rPr>
          <t>Calculated</t>
        </r>
        <r>
          <rPr>
            <sz val="9"/>
            <color indexed="81"/>
            <rFont val="Tahoma"/>
            <family val="2"/>
          </rPr>
          <t xml:space="preserve">
Cell with</t>
        </r>
        <r>
          <rPr>
            <u/>
            <sz val="9"/>
            <color indexed="81"/>
            <rFont val="Tahoma"/>
            <family val="2"/>
          </rPr>
          <t xml:space="preserve"> first</t>
        </r>
        <r>
          <rPr>
            <sz val="9"/>
            <color indexed="81"/>
            <rFont val="Tahoma"/>
            <family val="2"/>
          </rPr>
          <t xml:space="preserve"> occurrence of this error</t>
        </r>
      </text>
    </comment>
    <comment ref="R75" authorId="0" shapeId="0" xr:uid="{00000000-0006-0000-0000-00004B000000}">
      <text>
        <r>
          <rPr>
            <b/>
            <sz val="9"/>
            <color indexed="81"/>
            <rFont val="Tahoma"/>
            <family val="2"/>
          </rPr>
          <t>Calculated</t>
        </r>
        <r>
          <rPr>
            <sz val="9"/>
            <color indexed="81"/>
            <rFont val="Tahoma"/>
            <family val="2"/>
          </rPr>
          <t xml:space="preserve">
Cell with</t>
        </r>
        <r>
          <rPr>
            <u/>
            <sz val="9"/>
            <color indexed="81"/>
            <rFont val="Tahoma"/>
            <family val="2"/>
          </rPr>
          <t xml:space="preserve"> first</t>
        </r>
        <r>
          <rPr>
            <sz val="9"/>
            <color indexed="81"/>
            <rFont val="Tahoma"/>
            <family val="2"/>
          </rPr>
          <t xml:space="preserve"> occurrence of this error</t>
        </r>
      </text>
    </comment>
    <comment ref="R77" authorId="0" shapeId="0" xr:uid="{00000000-0006-0000-0000-00004C000000}">
      <text>
        <r>
          <rPr>
            <b/>
            <sz val="9"/>
            <color indexed="81"/>
            <rFont val="Tahoma"/>
            <family val="2"/>
          </rPr>
          <t>Calculated</t>
        </r>
        <r>
          <rPr>
            <sz val="9"/>
            <color indexed="81"/>
            <rFont val="Tahoma"/>
            <family val="2"/>
          </rPr>
          <t xml:space="preserve">
Cell with</t>
        </r>
        <r>
          <rPr>
            <u/>
            <sz val="9"/>
            <color indexed="81"/>
            <rFont val="Tahoma"/>
            <family val="2"/>
          </rPr>
          <t xml:space="preserve"> first</t>
        </r>
        <r>
          <rPr>
            <sz val="9"/>
            <color indexed="81"/>
            <rFont val="Tahoma"/>
            <family val="2"/>
          </rPr>
          <t xml:space="preserve"> occurrence of this error</t>
        </r>
      </text>
    </comment>
    <comment ref="U85" authorId="0" shapeId="0" xr:uid="{00000000-0006-0000-0000-00004D000000}">
      <text>
        <r>
          <rPr>
            <b/>
            <sz val="9"/>
            <color indexed="81"/>
            <rFont val="Tahoma"/>
            <family val="2"/>
          </rPr>
          <t>Newman:</t>
        </r>
        <r>
          <rPr>
            <sz val="9"/>
            <color indexed="81"/>
            <rFont val="Tahoma"/>
            <family val="2"/>
          </rPr>
          <t xml:space="preserve">
Not used directly so just 'False' permanently</t>
        </r>
      </text>
    </comment>
    <comment ref="B86" authorId="1" shapeId="0" xr:uid="{00000000-0006-0000-0000-00004E000000}">
      <text>
        <r>
          <rPr>
            <sz val="9"/>
            <color indexed="81"/>
            <rFont val="Tahoma"/>
            <family val="2"/>
          </rPr>
          <t xml:space="preserve">DEFINITIONS:
</t>
        </r>
        <r>
          <rPr>
            <b/>
            <sz val="9"/>
            <color indexed="81"/>
            <rFont val="Tahoma"/>
            <family val="2"/>
          </rPr>
          <t>Clinical/ embedded/ outreach librarian services</t>
        </r>
        <r>
          <rPr>
            <sz val="9"/>
            <color indexed="81"/>
            <rFont val="Tahoma"/>
            <family val="2"/>
          </rPr>
          <t xml:space="preserve">: 
can include literature searches and training, attendance at journal clubs/ward rounds/ departmental meetings. 
</t>
        </r>
        <r>
          <rPr>
            <b/>
            <sz val="9"/>
            <color indexed="81"/>
            <rFont val="Tahoma"/>
            <family val="2"/>
          </rPr>
          <t>Outreach</t>
        </r>
        <r>
          <rPr>
            <sz val="9"/>
            <color indexed="81"/>
            <rFont val="Tahoma"/>
            <family val="2"/>
          </rPr>
          <t xml:space="preserve"> as above but involves a pro-active approach to engage the users and
support them in their work, learning and development needs but mainly in their workplace.
</t>
        </r>
      </text>
    </comment>
    <comment ref="U86" authorId="0" shapeId="0" xr:uid="{00000000-0006-0000-0000-00004F000000}">
      <text>
        <r>
          <rPr>
            <b/>
            <sz val="9"/>
            <color indexed="81"/>
            <rFont val="Tahoma"/>
            <family val="2"/>
          </rPr>
          <t>newmand:</t>
        </r>
        <r>
          <rPr>
            <sz val="9"/>
            <color indexed="81"/>
            <rFont val="Tahoma"/>
            <family val="2"/>
          </rPr>
          <t xml:space="preserve">
Not used directly so just 'False' permanently</t>
        </r>
      </text>
    </comment>
    <comment ref="U87" authorId="0" shapeId="0" xr:uid="{00000000-0006-0000-0000-000050000000}">
      <text>
        <r>
          <rPr>
            <b/>
            <sz val="9"/>
            <color indexed="81"/>
            <rFont val="Tahoma"/>
            <family val="2"/>
          </rPr>
          <t>newmand:</t>
        </r>
        <r>
          <rPr>
            <sz val="9"/>
            <color indexed="81"/>
            <rFont val="Tahoma"/>
            <family val="2"/>
          </rPr>
          <t xml:space="preserve">
Not used directly so just 'False' permanently</t>
        </r>
      </text>
    </comment>
    <comment ref="U88" authorId="0" shapeId="0" xr:uid="{00000000-0006-0000-0000-000051000000}">
      <text>
        <r>
          <rPr>
            <b/>
            <sz val="9"/>
            <color indexed="81"/>
            <rFont val="Tahoma"/>
            <family val="2"/>
          </rPr>
          <t>newmand:</t>
        </r>
        <r>
          <rPr>
            <sz val="9"/>
            <color indexed="81"/>
            <rFont val="Tahoma"/>
            <family val="2"/>
          </rPr>
          <t xml:space="preserve">
Not used directly so just 'False' permanently</t>
        </r>
      </text>
    </comment>
    <comment ref="U114" authorId="0" shapeId="0" xr:uid="{00000000-0006-0000-0000-000052000000}">
      <text>
        <r>
          <rPr>
            <sz val="9"/>
            <color indexed="81"/>
            <rFont val="Tahoma"/>
            <family val="2"/>
          </rPr>
          <t xml:space="preserve">
True if the comment in green below total isn't 
'Correct total' or blank</t>
        </r>
      </text>
    </comment>
    <comment ref="U116" authorId="0" shapeId="0" xr:uid="{00000000-0006-0000-0000-000053000000}">
      <text>
        <r>
          <rPr>
            <sz val="9"/>
            <color indexed="81"/>
            <rFont val="Tahoma"/>
            <family val="2"/>
          </rPr>
          <t xml:space="preserve">
True if the comment in green below total isn't 
'Correct total' or blank</t>
        </r>
      </text>
    </comment>
    <comment ref="U117" authorId="0" shapeId="0" xr:uid="{00000000-0006-0000-0000-000054000000}">
      <text>
        <r>
          <rPr>
            <sz val="9"/>
            <color indexed="81"/>
            <rFont val="Tahoma"/>
            <family val="2"/>
          </rPr>
          <t xml:space="preserve">
True if the comment in green below total isn't 
'Correct total' or blank</t>
        </r>
      </text>
    </comment>
    <comment ref="U118" authorId="0" shapeId="0" xr:uid="{00000000-0006-0000-0000-000055000000}">
      <text>
        <r>
          <rPr>
            <sz val="9"/>
            <color indexed="81"/>
            <rFont val="Tahoma"/>
            <family val="2"/>
          </rPr>
          <t xml:space="preserve">
True if the comment in green below total isn't 
'Correct total' or blank</t>
        </r>
      </text>
    </comment>
    <comment ref="U119" authorId="0" shapeId="0" xr:uid="{00000000-0006-0000-0000-000056000000}">
      <text>
        <r>
          <rPr>
            <sz val="9"/>
            <color indexed="81"/>
            <rFont val="Tahoma"/>
            <family val="2"/>
          </rPr>
          <t xml:space="preserve">
True if the comment in green below total isn't 
'Correct total' or blank</t>
        </r>
      </text>
    </comment>
    <comment ref="U120" authorId="0" shapeId="0" xr:uid="{00000000-0006-0000-0000-000057000000}">
      <text>
        <r>
          <rPr>
            <sz val="9"/>
            <color indexed="81"/>
            <rFont val="Tahoma"/>
            <family val="2"/>
          </rPr>
          <t xml:space="preserve">
True if the comment in green below total isn't 
'Correct total' or blank</t>
        </r>
      </text>
    </comment>
  </commentList>
</comments>
</file>

<file path=xl/sharedStrings.xml><?xml version="1.0" encoding="utf-8"?>
<sst xmlns="http://schemas.openxmlformats.org/spreadsheetml/2006/main" count="561" uniqueCount="447">
  <si>
    <t>NHS LIBRARY SERVICES ANNUAL STATISTICAL RETURN - PART ONE (STAFFING)</t>
  </si>
  <si>
    <t>LineBreak</t>
  </si>
  <si>
    <t>Indent</t>
  </si>
  <si>
    <t>Progress Report &amp; Guidance  &gt;&gt;</t>
  </si>
  <si>
    <t xml:space="preserve">                 </t>
  </si>
  <si>
    <t>Source data for comments</t>
  </si>
  <si>
    <t>Use?</t>
  </si>
  <si>
    <t>Final Text for aggregating</t>
  </si>
  <si>
    <t>Include ref?</t>
  </si>
  <si>
    <t>Address</t>
  </si>
  <si>
    <t>ReportText</t>
  </si>
  <si>
    <t>SERVICE DETAILS</t>
  </si>
  <si>
    <t>Pending</t>
  </si>
  <si>
    <t>Health Education England local area - (choose from drop-down list)</t>
  </si>
  <si>
    <t>Lead Library service/Library service org. name</t>
  </si>
  <si>
    <t>ref</t>
  </si>
  <si>
    <t>Sector of library service (choose from  drop-down list)</t>
  </si>
  <si>
    <t>This form was completed by:</t>
  </si>
  <si>
    <t>Name</t>
  </si>
  <si>
    <t>Position</t>
  </si>
  <si>
    <t>E-mail</t>
  </si>
  <si>
    <t>Tel. No.</t>
  </si>
  <si>
    <t>Date completed</t>
  </si>
  <si>
    <r>
      <t xml:space="preserve">Names of organisations served: Manging org. first and </t>
    </r>
    <r>
      <rPr>
        <b/>
        <sz val="10"/>
        <color rgb="FFFF0000"/>
        <rFont val="Calibri"/>
        <family val="2"/>
      </rPr>
      <t>EXCLUDE address and library name.</t>
    </r>
  </si>
  <si>
    <t>Type of Service/Organisation 
(choose from dropdown list)</t>
  </si>
  <si>
    <t>Explanation for "other"</t>
  </si>
  <si>
    <t>N.B. Supply at least 1 "name" + "type of service/org".  DO NOT supply "type" without an "org. name."</t>
  </si>
  <si>
    <t>Others</t>
  </si>
  <si>
    <t>Lstcompletion</t>
  </si>
  <si>
    <t>From B18</t>
  </si>
  <si>
    <t>1.</t>
  </si>
  <si>
    <t>2.</t>
  </si>
  <si>
    <t>3.</t>
  </si>
  <si>
    <t>4.</t>
  </si>
  <si>
    <t>5.</t>
  </si>
  <si>
    <t>6.</t>
  </si>
  <si>
    <t>7.</t>
  </si>
  <si>
    <t>8.</t>
  </si>
  <si>
    <t>9.</t>
  </si>
  <si>
    <t>10.</t>
  </si>
  <si>
    <t>11.</t>
  </si>
  <si>
    <t>12.</t>
  </si>
  <si>
    <t>13.</t>
  </si>
  <si>
    <t>14.</t>
  </si>
  <si>
    <t>15.</t>
  </si>
  <si>
    <t>Please return this questionnaire no later than date provided by your HEE Library and Knowledge Services Lead.</t>
  </si>
  <si>
    <t xml:space="preserve">STAFF QUALIFICATIONS OF STAFF IN POST </t>
  </si>
  <si>
    <t>Whole Time Equivalent (WTE) staff in post</t>
  </si>
  <si>
    <r>
      <t xml:space="preserve">Professionally Qualified Library Staff 
                </t>
    </r>
    <r>
      <rPr>
        <i/>
        <sz val="10"/>
        <rFont val="Calibri"/>
        <family val="2"/>
      </rPr>
      <t xml:space="preserve"> i.e. 1st degree in library information science (LIS), PG Diploma, Masters or PhD in LIS, MCLIP, FCLIP</t>
    </r>
  </si>
  <si>
    <t>E41</t>
  </si>
  <si>
    <t>No library qualification (include here NVQs in Customer Service, Business Administration etc.)</t>
  </si>
  <si>
    <t>Total WTEs</t>
  </si>
  <si>
    <t>APPRENTICES</t>
  </si>
  <si>
    <t>Head Count Apprentices in post</t>
  </si>
  <si>
    <r>
      <t>What type of apprenticeship are they undertaking?....................................</t>
    </r>
    <r>
      <rPr>
        <b/>
        <i/>
        <sz val="10"/>
        <rFont val="Calibri"/>
        <family val="2"/>
      </rPr>
      <t>Please provide Head Count per apprenticeship</t>
    </r>
  </si>
  <si>
    <t>1.5a</t>
  </si>
  <si>
    <t>Library/information/archives assistant (level 3)</t>
  </si>
  <si>
    <t>1.5b</t>
  </si>
  <si>
    <t>Other (please add details in explanation box)</t>
  </si>
  <si>
    <t>SALARY BANDS FOR ALL STAFF + VACANCIES + SALARY SCHEMES</t>
  </si>
  <si>
    <t>Please complete all information as at 1 April 2021. INCLUDE Apprentices.
Please quote in first column the number of Whole Time Equivalents (WTE) when FULLY STAFFED.
N.B. Staff on non-NHS contracts should use the pay band closest to their own salary.</t>
  </si>
  <si>
    <r>
      <t xml:space="preserve">a i. WTE POSTS 
</t>
    </r>
    <r>
      <rPr>
        <b/>
        <sz val="10"/>
        <color rgb="FFFF0000"/>
        <rFont val="Calibri"/>
        <family val="2"/>
      </rPr>
      <t>(When fully staffed i.e. all vacancies filled)</t>
    </r>
  </si>
  <si>
    <t>a iii. Show the current VACANCIES 
as WTE</t>
  </si>
  <si>
    <r>
      <t xml:space="preserve">b i. HEAD COUNT for posts
</t>
    </r>
    <r>
      <rPr>
        <b/>
        <sz val="10"/>
        <color rgb="FFFF0000"/>
        <rFont val="Calibri"/>
        <family val="2"/>
      </rPr>
      <t>(When fully staffed i.e. all vacancies filled)</t>
    </r>
  </si>
  <si>
    <t>b ii. Show current VACANCIES as HEAD COUNT</t>
  </si>
  <si>
    <t>Pay bands 1-2 or equivalent</t>
  </si>
  <si>
    <t>£18,005 to £19,337</t>
  </si>
  <si>
    <t>Pay band 3 or equivalent</t>
  </si>
  <si>
    <t>£19,737 to £21,142</t>
  </si>
  <si>
    <t>Pay band 4 or equivalent</t>
  </si>
  <si>
    <t>£21,892 to £24,157</t>
  </si>
  <si>
    <t>Pay band 5 or equivalent</t>
  </si>
  <si>
    <t>£24,097 to £30,615</t>
  </si>
  <si>
    <t>Pay band 6 or equivalent</t>
  </si>
  <si>
    <t>£31,365 to £37,890</t>
  </si>
  <si>
    <t>Pay band 7 or equivalent</t>
  </si>
  <si>
    <t>£38,890 to £44.503</t>
  </si>
  <si>
    <t>Pay band 8a and upwards or equivalent</t>
  </si>
  <si>
    <t>£45,753 and above</t>
  </si>
  <si>
    <t>Total</t>
  </si>
  <si>
    <t>LstHeadcountVacancies</t>
  </si>
  <si>
    <t>SUMMARY: Therefore Whole Time Equivalent (WTE) of staff in post is</t>
  </si>
  <si>
    <t>SUMMARY: Therefore head count of staff in post is</t>
  </si>
  <si>
    <r>
      <t xml:space="preserve">Please indicate the </t>
    </r>
    <r>
      <rPr>
        <b/>
        <sz val="10"/>
        <rFont val="Calibri"/>
        <family val="2"/>
      </rPr>
      <t xml:space="preserve">number of WTEs </t>
    </r>
    <r>
      <rPr>
        <sz val="10"/>
        <rFont val="Calibri"/>
        <family val="2"/>
      </rPr>
      <t>on each salary scheme that applies to</t>
    </r>
    <r>
      <rPr>
        <b/>
        <sz val="10"/>
        <rFont val="Calibri"/>
        <family val="2"/>
      </rPr>
      <t xml:space="preserve"> </t>
    </r>
    <r>
      <rPr>
        <sz val="10"/>
        <rFont val="Calibri"/>
        <family val="2"/>
      </rPr>
      <t>staff</t>
    </r>
    <r>
      <rPr>
        <b/>
        <sz val="10"/>
        <rFont val="Calibri"/>
        <family val="2"/>
      </rPr>
      <t xml:space="preserve"> IN POST</t>
    </r>
    <r>
      <rPr>
        <sz val="10"/>
        <rFont val="Calibri"/>
        <family val="2"/>
      </rPr>
      <t xml:space="preserve"> in your service:</t>
    </r>
  </si>
  <si>
    <t>NHS</t>
  </si>
  <si>
    <t>Higher Education</t>
  </si>
  <si>
    <t>Local Authority</t>
  </si>
  <si>
    <t>LKS Manager's explanation of "Other"</t>
  </si>
  <si>
    <t>Other Schemes</t>
  </si>
  <si>
    <t>STAFF QUALIFICATIONS BY PAY BAND OF STAFF IN POST</t>
  </si>
  <si>
    <t>TblStaffBands</t>
  </si>
  <si>
    <t>Please complete all information as at 1 April 2021.
Record ONLY the highest level qualification NOT ALL qualifications held. EXCLUDE apprentices from 3.3 and use 3.4 instead.
N.B. Staff on non-NHS contracts should use the pay band closest to their own salary, details of the current pay bands and rates are shown in Section 2.</t>
  </si>
  <si>
    <t xml:space="preserve"> WTE for qualifications of staff in post by AfC pay band</t>
  </si>
  <si>
    <t>Bands 1-2
(as WTE)</t>
  </si>
  <si>
    <t>Band 3
(as WTE)</t>
  </si>
  <si>
    <t>Band 4 
(as WTE)</t>
  </si>
  <si>
    <t>Band 5
(as WTE)</t>
  </si>
  <si>
    <t>Band 6
(as WTE)</t>
  </si>
  <si>
    <t>Band 7 
(as WTE)</t>
  </si>
  <si>
    <t>Band 8a+
(as WTE)</t>
  </si>
  <si>
    <r>
      <rPr>
        <b/>
        <sz val="10"/>
        <rFont val="Calibri"/>
        <family val="2"/>
      </rPr>
      <t>Professionally qualified</t>
    </r>
    <r>
      <rPr>
        <sz val="10"/>
        <rFont val="Calibri"/>
        <family val="2"/>
      </rPr>
      <t xml:space="preserve"> library staff (i.e. 1st degree in library information science (LIS), PG Diploma, Masters or PhD in LIS, MCLIP, FCLIP or ALA (former Library Association exams)</t>
    </r>
  </si>
  <si>
    <r>
      <rPr>
        <b/>
        <sz val="10"/>
        <rFont val="Calibri"/>
        <family val="2"/>
      </rPr>
      <t>Para-professionally qualified</t>
    </r>
    <r>
      <rPr>
        <sz val="10"/>
        <rFont val="Calibri"/>
        <family val="2"/>
      </rPr>
      <t xml:space="preserve"> library staff (i.e. ACLIP, LIS NVQ, City and Guilds)</t>
    </r>
  </si>
  <si>
    <r>
      <rPr>
        <b/>
        <sz val="10"/>
        <rFont val="Calibri"/>
        <family val="2"/>
      </rPr>
      <t>No library qualification</t>
    </r>
    <r>
      <rPr>
        <sz val="10"/>
        <rFont val="Calibri"/>
        <family val="2"/>
      </rPr>
      <t xml:space="preserve"> (include here NVQs in Customer Service, Business Administration etc.)</t>
    </r>
  </si>
  <si>
    <r>
      <rPr>
        <b/>
        <sz val="10"/>
        <rFont val="Calibri"/>
        <family val="2"/>
      </rPr>
      <t>Apprenticeships</t>
    </r>
    <r>
      <rPr>
        <sz val="10"/>
        <rFont val="Calibri"/>
        <family val="2"/>
      </rPr>
      <t xml:space="preserve"> in business administration/customer services/Library/information/archives/other (see 1.5)</t>
    </r>
  </si>
  <si>
    <t>CLINICAL/EMBEDDED/OUTREACH SERVICES - TIME SPENT</t>
  </si>
  <si>
    <t xml:space="preserve"> WTE for clinical/embedded/outreach time by AfC pay band</t>
  </si>
  <si>
    <t>Band 5 (WTE)</t>
  </si>
  <si>
    <t>Band 6 (WTE)</t>
  </si>
  <si>
    <t>Band 7  (WTE)</t>
  </si>
  <si>
    <t>Band 8a+ (WTE)</t>
  </si>
  <si>
    <r>
      <rPr>
        <b/>
        <sz val="10"/>
        <rFont val="Calibri"/>
        <family val="2"/>
      </rPr>
      <t>PLEASE NOTE - VACANCIES IN 2020-21</t>
    </r>
    <r>
      <rPr>
        <sz val="10"/>
        <rFont val="Calibri"/>
        <family val="2"/>
      </rPr>
      <t xml:space="preserve">
If the posts where Bands 5 to 8 delivered outreach services in 2019-20 are vacant in 2020-21
DO NOT enter the data in the table above as it will skew the figures.
Please add it as a note in the "Additional comments from LKS Manager" box below.</t>
    </r>
  </si>
  <si>
    <t>GUIDANCE</t>
  </si>
  <si>
    <t>Formula to determine WTE of time is:  WTE of post(s) per band x % of time</t>
  </si>
  <si>
    <t>ADDITIONAL COMMENTS FROM LKS MANAGER? E.g. re vacancies for outreach services</t>
  </si>
  <si>
    <t>E71</t>
  </si>
  <si>
    <t>e.g. 2.00 WTE Band 5s spend 50% of their time on this type of work so proportion of WTE is 2.00 x 0.5 = 1 WTE
        0.50 WTE Band 6 spends 75% of their time on this type of work so proportion of WTE is 0.5 x 0.75 = 0.375 WTE</t>
  </si>
  <si>
    <t>G71</t>
  </si>
  <si>
    <t xml:space="preserve"> WTE for facilitating and implementing knowledge mobilisation by AfC pay band</t>
  </si>
  <si>
    <t>Bands 1-2 (as WTE)</t>
  </si>
  <si>
    <t>Click to See Comments and Errors form</t>
  </si>
  <si>
    <t xml:space="preserve">NEW - DATA QUALITY MEASURES </t>
  </si>
  <si>
    <r>
      <t xml:space="preserve">With grateful thanks to </t>
    </r>
    <r>
      <rPr>
        <b/>
        <sz val="12"/>
        <rFont val="Calibri"/>
        <family val="2"/>
      </rPr>
      <t>David Newman at Exeter Health Library,</t>
    </r>
    <r>
      <rPr>
        <sz val="12"/>
        <rFont val="Calibri"/>
        <family val="2"/>
      </rPr>
      <t xml:space="preserve"> we have changed the way in which your data is validated.</t>
    </r>
  </si>
  <si>
    <r>
      <t xml:space="preserve">We now provide a "Pre-Submission: Comments and Errors" form which can be seen to the right of the "Progress form and guidance" label. 
Please click on the box to open it to see the data checks.
If you look at the blank return you will notice some cells e.g. F41 say </t>
    </r>
    <r>
      <rPr>
        <b/>
        <sz val="12"/>
        <color theme="3"/>
        <rFont val="Calibri"/>
        <family val="2"/>
      </rPr>
      <t>"Matching fine" - shows where a data check occurs.</t>
    </r>
    <r>
      <rPr>
        <sz val="12"/>
        <rFont val="Calibri"/>
        <family val="2"/>
      </rPr>
      <t xml:space="preserve">
</t>
    </r>
  </si>
  <si>
    <t>The form checks a number of cells to see that:</t>
  </si>
  <si>
    <t xml:space="preserve">a) ALL required cells have been completed
b) Where cells must all have the same totals, that this is the case i.e.:
      * Section 1  - staff qualifications - total of the Whole Time Equivalent (WTE) staff in post,
      * Section 2 - salary bands - total of the Whole Time Equivalent (WTE) staff in post, 
      * Section 2.7 - salary schemes - total of the Whole Time Equivalent (WTE) staff in post and 
      * Section 3 - staff qualifications by pay band - total of the Whole Time Equivalent (WTE) of staff in post 
</t>
  </si>
  <si>
    <t>The "Pre-Submission: Comments and Errors" form will pop-up as you save the form.</t>
  </si>
  <si>
    <t>IMPORTANT 
**You should review content of the "Progress form and guidance" before submitting the form to your HEE LKS Lead 
as it will tell you what is missing.
If you submit a form with data missing your HEE LKS Lead will return the form to you for completion.**</t>
  </si>
  <si>
    <t>GUIDANCE ON COMPLETING THIS FORM</t>
  </si>
  <si>
    <r>
      <t xml:space="preserve">A summary of the guidance is provided below, but guidance is also embedded in the form at appropriate places. As you click in cells you will see a pop-up box which contains the relevant guidance. Guidance is also given in the </t>
    </r>
    <r>
      <rPr>
        <b/>
        <sz val="12"/>
        <rFont val="Calibri"/>
        <family val="2"/>
      </rPr>
      <t>"Progress report and guidance"</t>
    </r>
    <r>
      <rPr>
        <sz val="12"/>
        <rFont val="Calibri"/>
        <family val="2"/>
      </rPr>
      <t xml:space="preserve"> box in the top right or bottom left of the form.</t>
    </r>
  </si>
  <si>
    <r>
      <t xml:space="preserve">COMMENTS </t>
    </r>
    <r>
      <rPr>
        <sz val="12"/>
        <rFont val="Calibri"/>
        <family val="2"/>
      </rPr>
      <t>boxes are provided on the right-hand side of the sheet where you can enter notes of explanation if necessary.</t>
    </r>
  </si>
  <si>
    <t>PRELIMINARY SECTION</t>
  </si>
  <si>
    <t>Please note</t>
  </si>
  <si>
    <t>With the exception of the Preliminary Section, all branch/site library data should be aggregated with that for the main library site when completing the return.</t>
  </si>
  <si>
    <t>Name of Health Education England local office</t>
  </si>
  <si>
    <t>The names of all 13 HEE local offices are provided in a drop-down list. Click in the cell and then click on the downward facing arrow to see the list.</t>
  </si>
  <si>
    <t>Sector of library service</t>
  </si>
  <si>
    <t>The names of 4 "sectors" are provided as a drop-down list. Click in the "sector of library service" cell in the relevant row to assign a sector to each library.</t>
  </si>
  <si>
    <t xml:space="preserve"> If in doubt check with your HEE Library and Knowledge Services Lead.</t>
  </si>
  <si>
    <t>"Sectors" relate to where the majority of the funding comes from and is also likely to relate to who employs the staff. 
"HE provided" is likely to be via a Service Level Agreement with the NHS organisation.</t>
  </si>
  <si>
    <t>Names of Organisations</t>
  </si>
  <si>
    <r>
      <t xml:space="preserve">Enter your </t>
    </r>
    <r>
      <rPr>
        <b/>
        <sz val="12"/>
        <rFont val="Calibri"/>
        <family val="2"/>
      </rPr>
      <t>managing organisation first.</t>
    </r>
    <r>
      <rPr>
        <sz val="12"/>
        <rFont val="Calibri"/>
        <family val="2"/>
      </rPr>
      <t xml:space="preserve">  Please list all the other organisations with which you have a </t>
    </r>
    <r>
      <rPr>
        <b/>
        <sz val="12"/>
        <rFont val="Calibri"/>
        <family val="2"/>
      </rPr>
      <t>service level agreement (SLA) of other "formal documented agreement"</t>
    </r>
    <r>
      <rPr>
        <sz val="12"/>
        <rFont val="Calibri"/>
        <family val="2"/>
      </rPr>
      <t xml:space="preserve"> for the provision of library services. 
</t>
    </r>
    <r>
      <rPr>
        <b/>
        <sz val="12"/>
        <color rgb="FFFF0000"/>
        <rFont val="Calibri"/>
        <family val="2"/>
      </rPr>
      <t>EXCLUDE</t>
    </r>
    <r>
      <rPr>
        <sz val="12"/>
        <color rgb="FFFF0000"/>
        <rFont val="Calibri"/>
        <family val="2"/>
      </rPr>
      <t xml:space="preserve"> </t>
    </r>
    <r>
      <rPr>
        <sz val="12"/>
        <rFont val="Calibri"/>
        <family val="2"/>
      </rPr>
      <t xml:space="preserve">the address and library name.
</t>
    </r>
    <r>
      <rPr>
        <b/>
        <sz val="12"/>
        <rFont val="Calibri"/>
        <family val="2"/>
      </rPr>
      <t>REPEAT</t>
    </r>
    <r>
      <rPr>
        <sz val="12"/>
        <rFont val="Calibri"/>
        <family val="2"/>
      </rPr>
      <t xml:space="preserve"> the name of the organisation if you are listing multiple departments or sub-organisations from the same organisation.</t>
    </r>
  </si>
  <si>
    <t>Type of Service/Organisation</t>
  </si>
  <si>
    <r>
      <t xml:space="preserve">For </t>
    </r>
    <r>
      <rPr>
        <b/>
        <sz val="12"/>
        <rFont val="Calibri"/>
        <family val="2"/>
      </rPr>
      <t>students on placement</t>
    </r>
    <r>
      <rPr>
        <sz val="12"/>
        <rFont val="Calibri"/>
        <family val="2"/>
      </rPr>
      <t xml:space="preserve"> and HEI staff please use "Higher Education Institution" rather than "Other"</t>
    </r>
  </si>
  <si>
    <t>If in doubt check with your HEE LKS Lead.</t>
  </si>
  <si>
    <r>
      <t xml:space="preserve">If </t>
    </r>
    <r>
      <rPr>
        <b/>
        <sz val="12"/>
        <rFont val="Calibri"/>
        <family val="2"/>
      </rPr>
      <t>"Other"</t>
    </r>
    <r>
      <rPr>
        <sz val="12"/>
        <rFont val="Calibri"/>
        <family val="2"/>
      </rPr>
      <t xml:space="preserve"> is chosen please specify, in the appropriate cell, in the explanation table to the right.</t>
    </r>
  </si>
  <si>
    <t>Section 1:  STAFF QUALIFICATIONS OF STAFF IN POST</t>
  </si>
  <si>
    <r>
      <t xml:space="preserve">N.B. To calculate WTE (this is the number of Whole Time (also know as Full Time) Equivalent)
divide the number of hours worked by 37.5 hours (NHS Agenda for Change standard work week).      </t>
    </r>
    <r>
      <rPr>
        <sz val="12"/>
        <rFont val="Calibri"/>
        <family val="2"/>
      </rPr>
      <t xml:space="preserve">                  
e.g. Jane works 25 hours per week so 25/37.5 = 0.67 WTE</t>
    </r>
  </si>
  <si>
    <t>Count only library service-related NVQs here.</t>
  </si>
  <si>
    <r>
      <rPr>
        <b/>
        <sz val="12"/>
        <color theme="9"/>
        <rFont val="Calibri"/>
        <family val="2"/>
      </rPr>
      <t xml:space="preserve">
</t>
    </r>
    <r>
      <rPr>
        <b/>
        <sz val="12"/>
        <color indexed="12"/>
        <rFont val="Calibri"/>
        <family val="2"/>
      </rPr>
      <t>1.4</t>
    </r>
  </si>
  <si>
    <t>The HEE CPD Group are keen to see whether or not LKS staff are able to provide apprenticeships within the LKS particularly given the introduction of the library/information/archives assistant apprenticeship in December 2018. We would like to monitor progress for this over a few years.</t>
  </si>
  <si>
    <t>Section 2:  SALARY BANDS FOR ALL STAFF + VACANCIES + SALARY SCHEMES</t>
  </si>
  <si>
    <t>NOTE</t>
  </si>
  <si>
    <t>Only aggregated information across a HEE area will appear in the public arena, so that the individual's privacy is protected.</t>
  </si>
  <si>
    <t>Staff on non-NHS contracts should use the pay band closest to their own salary.</t>
  </si>
  <si>
    <r>
      <t>EXCLUDE</t>
    </r>
    <r>
      <rPr>
        <sz val="12"/>
        <rFont val="Calibri"/>
        <family val="2"/>
      </rPr>
      <t xml:space="preserve"> London weighting to enable comparison of basic salaries across the country.</t>
    </r>
  </si>
  <si>
    <t>Section 3:  STAFF QUALIFICATIONS BY PAY BAND OF STAFF IN POST</t>
  </si>
  <si>
    <t>We would like to definitively distinguish between professional and para-professional staff to aid the KfH Workforce programme. 
Traditionally bands 1-4 are para-professional posts and 5-8 are professional ones.</t>
  </si>
  <si>
    <t>We know some professionally qualified staff are in bands 1-4 posts and some para-professional staff in bands 5 and above.</t>
  </si>
  <si>
    <t>Count only the highest library/informatics qualification held by each member of staff in post as of 1 April 2020. 
i.e. enter no more than one qualification per staff member. EXCLUDE apprentices from 3.3 and use 3.4 instead.</t>
  </si>
  <si>
    <t>Include non-LIS NVQs such as Business Administration, Customer Service etc.</t>
  </si>
  <si>
    <r>
      <t xml:space="preserve">Include here </t>
    </r>
    <r>
      <rPr>
        <b/>
        <sz val="12"/>
        <rFont val="Calibri"/>
        <family val="2"/>
      </rPr>
      <t>apprentices whose main base is the LKS</t>
    </r>
    <r>
      <rPr>
        <sz val="12"/>
        <rFont val="Calibri"/>
        <family val="2"/>
      </rPr>
      <t xml:space="preserve"> who are studying towards an apprenticeship.</t>
    </r>
  </si>
  <si>
    <t>Section 4: CLINICAL/EMBEDDED/OUTREACH LIBRARIANS</t>
  </si>
  <si>
    <t>CLINICAL/EMBEDDED/OUTREACH LIBRARIANS</t>
  </si>
  <si>
    <r>
      <t xml:space="preserve">Knowledge for Healthcare, 2014 (p. 56) </t>
    </r>
    <r>
      <rPr>
        <sz val="12"/>
        <rFont val="Calibri"/>
        <family val="2"/>
      </rPr>
      <t xml:space="preserve">provides definitions of a clinical/embedded librarian and an outreach librarian service: </t>
    </r>
  </si>
  <si>
    <t>DEFINITIONS</t>
  </si>
  <si>
    <r>
      <rPr>
        <b/>
        <sz val="12"/>
        <rFont val="Calibri"/>
        <family val="2"/>
      </rPr>
      <t>Clinical/embedded librarian</t>
    </r>
    <r>
      <rPr>
        <sz val="12"/>
        <rFont val="Calibri"/>
        <family val="2"/>
      </rPr>
      <t xml:space="preserve">: a role embedded in a clinical team, providing information as required by team members to support evidence-based practice and high quality patient care at the point of care or decision-making. </t>
    </r>
  </si>
  <si>
    <r>
      <rPr>
        <b/>
        <sz val="12"/>
        <rFont val="Calibri"/>
        <family val="2"/>
      </rPr>
      <t>Outreach librarian/service</t>
    </r>
    <r>
      <rPr>
        <sz val="12"/>
        <rFont val="Calibri"/>
        <family val="2"/>
      </rPr>
      <t>: designed to support the work, learning and development needs of staff in their workplace.</t>
    </r>
  </si>
  <si>
    <t>We recognise that not all NHS library and knowledge services provide these services to the letter of the definitions.
We would like to understand more about the time spent undertaking clinical/embedded/outreach librarian activities 
in the NHS whether or not a post is formally designated as a clinical/embedded or outreach post.</t>
  </si>
  <si>
    <t>When guesstimating the proportion of time please consider the following:</t>
  </si>
  <si>
    <r>
      <rPr>
        <b/>
        <sz val="12"/>
        <rFont val="Calibri"/>
        <family val="2"/>
      </rPr>
      <t xml:space="preserve">Clinical/ embedded/ outreach librarian services: </t>
    </r>
    <r>
      <rPr>
        <sz val="12"/>
        <rFont val="Calibri"/>
        <family val="2"/>
      </rPr>
      <t xml:space="preserve">
can include literature searches and training, attendance at journal clubs/ward rounds/ departmental meetings. 
</t>
    </r>
    <r>
      <rPr>
        <b/>
        <sz val="12"/>
        <rFont val="Calibri"/>
        <family val="2"/>
      </rPr>
      <t>Outreach</t>
    </r>
    <r>
      <rPr>
        <sz val="12"/>
        <rFont val="Calibri"/>
        <family val="2"/>
      </rPr>
      <t xml:space="preserve"> also involves a pro-active approach to engage the users to support them in their work, learning and development needs but mainly in their workplace.</t>
    </r>
  </si>
  <si>
    <t xml:space="preserve">QUERIES </t>
  </si>
  <si>
    <t>If you have any queries relating to the completion of this form then please email:</t>
  </si>
  <si>
    <t>LKS.ME@hee.nhs.uk</t>
  </si>
  <si>
    <t>HEE_Local_Office</t>
  </si>
  <si>
    <t>East Midlands</t>
  </si>
  <si>
    <t>East of England</t>
  </si>
  <si>
    <t>Kent, Surrey and Sussex</t>
  </si>
  <si>
    <t>London</t>
  </si>
  <si>
    <t>North East</t>
  </si>
  <si>
    <t>North West</t>
  </si>
  <si>
    <t>South West</t>
  </si>
  <si>
    <t>Thames Valley</t>
  </si>
  <si>
    <t>Wessex</t>
  </si>
  <si>
    <t>West Midlands</t>
  </si>
  <si>
    <t>Yorks. and the Humber</t>
  </si>
  <si>
    <t>East_Midlands</t>
  </si>
  <si>
    <t>Chesterfield Royal Hospital Foundation Trust</t>
  </si>
  <si>
    <t>Bedfordshire Hospitals NHS Foundation Trust</t>
  </si>
  <si>
    <t>Ashford and St Peter's Hospitals NHS Foundation Trust</t>
  </si>
  <si>
    <t>Barking, Havering and Redbridge University Hospitals NHS Trust</t>
  </si>
  <si>
    <t>County Durham and Darlington NHS Foundation Trust</t>
  </si>
  <si>
    <t>Alder Hey Children's NHS Foundation Trust</t>
  </si>
  <si>
    <t>Avon and Wiltshire Mental Health Partnership NHS Trust</t>
  </si>
  <si>
    <t>Berkshire Healthcare NHS Foundation Trust</t>
  </si>
  <si>
    <t>Birmingham and Solihull Mental Health NHS Foundation Trust</t>
  </si>
  <si>
    <t>Airedale NHS Foundation Trust</t>
  </si>
  <si>
    <t>East_of_England</t>
  </si>
  <si>
    <t>Derbyshire Healthcare NHS Foundation Trust</t>
  </si>
  <si>
    <t>Cambridge University Hospitals NHS Foundation Trust</t>
  </si>
  <si>
    <t>Brighton and Sussex University Hospitals NHS Trust</t>
  </si>
  <si>
    <t>Barnet, Enfield and Haringey Mental Health NHS Trust</t>
  </si>
  <si>
    <t>Cumbria, Northumberland, Tyne and Wear NHS Foundation Trust</t>
  </si>
  <si>
    <t>Blackpool Teaching Hospitals NHS Foundation Trust</t>
  </si>
  <si>
    <t>Dorset County Hospital NHS Foundation Trust</t>
  </si>
  <si>
    <t>Buckinghamshire Healthcare NHS Trust</t>
  </si>
  <si>
    <t>Birmingham Community Healthcare NHS FT</t>
  </si>
  <si>
    <t>Barnsley Hospital NHS Foundation Trust</t>
  </si>
  <si>
    <t>Kent__Surrey_and_Sussex</t>
  </si>
  <si>
    <t>Kettering General Hospital NHS Foundation Trust</t>
  </si>
  <si>
    <t>Cambridgeshire and Peterborough NHS Foundation Trust</t>
  </si>
  <si>
    <t>Dartford and Gravesham NHS Trust</t>
  </si>
  <si>
    <t>Barts Health NHS Trust</t>
  </si>
  <si>
    <t>Gateshead Health NHS Foundation Trust</t>
  </si>
  <si>
    <t>Bolton NHS Foundation Trust</t>
  </si>
  <si>
    <t xml:space="preserve">Gloucestershire Health and Care NHS FT </t>
  </si>
  <si>
    <t>Frimley Health NHS Foundation Trust</t>
  </si>
  <si>
    <t>Isle of Wight NHS Trust</t>
  </si>
  <si>
    <t>Birmingham Women's and Children's NHS FT</t>
  </si>
  <si>
    <t>Bradford District Care NHS Foundation Trust</t>
  </si>
  <si>
    <t>Northamptonshire Healthcare NHS Foundation Trust</t>
  </si>
  <si>
    <t>East and North Hertfordshire NHS Trust</t>
  </si>
  <si>
    <t>East Kent Hospitals University NHS Foundation Trust</t>
  </si>
  <si>
    <t>Central and North West London NHS Foundation Trust</t>
  </si>
  <si>
    <t>Newcastle upon Tyne Hospitals NHS Foundation Trust</t>
  </si>
  <si>
    <t>Bridgewater Community Healthcare NHS Foundation Trust</t>
  </si>
  <si>
    <t>Gloucestershire Hospitals NHS Foundation Trust</t>
  </si>
  <si>
    <t>Portsmouth Hospitals NHS Trust</t>
  </si>
  <si>
    <t>Black Country Healthcare NHS Foundation Trust</t>
  </si>
  <si>
    <t>Bradford Teaching Hospitals NHS Foundation Trust</t>
  </si>
  <si>
    <t>North_East</t>
  </si>
  <si>
    <t>Nottingham University Hospitals Trust</t>
  </si>
  <si>
    <t>East Anglia's Children's Hospices (EACH)</t>
  </si>
  <si>
    <t>East Sussex Healthcare NHS Trust</t>
  </si>
  <si>
    <t>Chelsea and Westminster Hospital NHS Foundation Trust</t>
  </si>
  <si>
    <t>North Cumbria Integrated Care NHS Trust</t>
  </si>
  <si>
    <t>Cheshire and Wirral Partnership NHS Foundation Trust</t>
  </si>
  <si>
    <t>Great Western Hospitals NHS Foundation Trust</t>
  </si>
  <si>
    <t>Milton Keynes University Hospital NHS Foundation Trust</t>
  </si>
  <si>
    <t>University Hospital Southampton NHS Foundation Trust</t>
  </si>
  <si>
    <t>Coventry &amp; Warwickshire Partnership Trust</t>
  </si>
  <si>
    <t>Calderdale and Huddersfield NHS Foundation Trust</t>
  </si>
  <si>
    <t>North_West</t>
  </si>
  <si>
    <t>Nottinghamshire Healthcare NHS Foundation Trust</t>
  </si>
  <si>
    <t>East Suffolk and North Essex NHS Foundation Trust</t>
  </si>
  <si>
    <t>Maidstone and Tunbridge Wells NHS Trust</t>
  </si>
  <si>
    <t>Croydon Health Services NHS Trust</t>
  </si>
  <si>
    <t>North Tees and Hartlepool Hospitals NHS Foundation Trust</t>
  </si>
  <si>
    <t>Countess of Chester Hospital NHS Foundation Trust</t>
  </si>
  <si>
    <t>North Bristol NHS Trust</t>
  </si>
  <si>
    <t>Oxford Health NHS Foundation Trust</t>
  </si>
  <si>
    <t>Dudley Group NHS Foundation Trust</t>
  </si>
  <si>
    <t>Doncaster and Bassetlaw Teaching Hospitals NHSFT</t>
  </si>
  <si>
    <t>South_West</t>
  </si>
  <si>
    <t>Sherwood Forest Hospitals NHS Foundation Trust</t>
  </si>
  <si>
    <t>Hertfordshire Partnership NHS Foundation Trust</t>
  </si>
  <si>
    <t>Medway NHS Foundation Trust</t>
  </si>
  <si>
    <t>Epsom and St Helier University Hospitals NHS Trust</t>
  </si>
  <si>
    <t>Northumbria Healthcare NHS Foundation Trust</t>
  </si>
  <si>
    <t>East Cheshire NHS Trust</t>
  </si>
  <si>
    <t>Northern Devon Healthcare NHS Trust</t>
  </si>
  <si>
    <t>Oxford University Hospitals NHS Foundation Trust</t>
  </si>
  <si>
    <t>Dudley Metropolitan Brough Council</t>
  </si>
  <si>
    <t>Harrogate and District NHS Foundation Trust</t>
  </si>
  <si>
    <t>Thames_Valley</t>
  </si>
  <si>
    <t>United Lincolnshire Hospital NHS Trust</t>
  </si>
  <si>
    <t>James Paget University Hospitals NHS Foundation Trust</t>
  </si>
  <si>
    <t>Queen Victoria Hospital NHS Foundation Trust</t>
  </si>
  <si>
    <t>Great Ormond Street Hospital for Children NHS Foundation Trust</t>
  </si>
  <si>
    <t>South Tees Hospitals NHS Foundation Trust</t>
  </si>
  <si>
    <t>East Lancashire Hospitals NHS Trust</t>
  </si>
  <si>
    <t>Royal Cornwall Hospitals NHS Trust</t>
  </si>
  <si>
    <t>Royal Berkshire NHS Foundation Trust</t>
  </si>
  <si>
    <t>George Eliot Hospital NHS Trust</t>
  </si>
  <si>
    <t>Hull University Teaching Hospitals NHS Trust</t>
  </si>
  <si>
    <t>University Hospitals of Derby and Burton NHS Foundation Trust</t>
  </si>
  <si>
    <t>Mid and South Essex NHS Foundation Trust</t>
  </si>
  <si>
    <t>Royal Surrey NHS Foundation Trust</t>
  </si>
  <si>
    <t>Guy's and St Thomas' NHS Foundation Trust</t>
  </si>
  <si>
    <t>South Tyneside and Sunderland NHS Foundation Trust</t>
  </si>
  <si>
    <t>Greater Manchester Mental Health NHS Foundation Trust</t>
  </si>
  <si>
    <t>Royal Devon and Exeter NHS Foundation Trust</t>
  </si>
  <si>
    <t>Midlands Partnership NHS Foundation Trust</t>
  </si>
  <si>
    <t>Leeds and York Partnership NHS Foundation Trust</t>
  </si>
  <si>
    <t>West_Midlands</t>
  </si>
  <si>
    <t>University Hospitals of Leicester NHS Trust</t>
  </si>
  <si>
    <t>Norfolk and Norwich University Hospital NHS Foundation Trust</t>
  </si>
  <si>
    <t>Surrey and Sussex Healthcare NHS Trust</t>
  </si>
  <si>
    <t>Homerton University Hospital NHS Foundation Trust</t>
  </si>
  <si>
    <t>Tees Esk and Wear Valleys NHS Foundation Trust</t>
  </si>
  <si>
    <t>Keyll Darree Isle of Man</t>
  </si>
  <si>
    <t>Royal United Hospital Bath NHS Foundation Trust</t>
  </si>
  <si>
    <t xml:space="preserve">NHS Blood and Transplant </t>
  </si>
  <si>
    <t>Leeds Community Healthcare NHS Trust</t>
  </si>
  <si>
    <t>Yorks._And_The_Humber</t>
  </si>
  <si>
    <t>Norfolk and Suffolk NHS Foundation Trust</t>
  </si>
  <si>
    <t>Western Sussex Hospitals NHS Foundation Trust</t>
  </si>
  <si>
    <t>Imperial College Healthcare NHS Trust</t>
  </si>
  <si>
    <t>Lancashire and South Cumbria NHS Foundation Trust</t>
  </si>
  <si>
    <t>Salisbury NHS Foundation Trust</t>
  </si>
  <si>
    <t>Robert Jones &amp; Agnes Hunt Orthopaedic Hospital NHS Foundation Trust</t>
  </si>
  <si>
    <t>Mid Yorkshire Hospitals NHS Trust</t>
  </si>
  <si>
    <t>North West Anglia NHS Foundation Trust</t>
  </si>
  <si>
    <t>King's College Hospital NHS Foundation Trust</t>
  </si>
  <si>
    <t>Somerset NHS Foundation Trust</t>
  </si>
  <si>
    <t>Royal Orthopaedic Hospital NHS Foundation Trust</t>
  </si>
  <si>
    <t>Northern Lincolnshire &amp; Goole NHS Foundation Trust</t>
  </si>
  <si>
    <t>Princess Alexandra Hospital NHS Trust</t>
  </si>
  <si>
    <t>King's College London</t>
  </si>
  <si>
    <t>Lancashire Teaching Hospitals NHS Foundation Trust</t>
  </si>
  <si>
    <t>Torbay and South Devon NHS Foundation Trust</t>
  </si>
  <si>
    <t>Royal Wolverhampton NHS Trust</t>
  </si>
  <si>
    <t>Sheffield Children's NHS Foundation Trust</t>
  </si>
  <si>
    <t>Royal Papworth Hospital NHS Foundation Trust</t>
  </si>
  <si>
    <t>Kingston Hospital NHS Foundation Trust</t>
  </si>
  <si>
    <t>Liverpool Heart and Chest Hospital NHS Foundation Trust</t>
  </si>
  <si>
    <t>University Hospitals Plymouth NHS Trust</t>
  </si>
  <si>
    <t>Sandwell and West Birmingham NHS Trust</t>
  </si>
  <si>
    <t>Sheffield Teaching Hospitals NHS Foundation Trust</t>
  </si>
  <si>
    <t>The Queen Elizabeth Hospital King's Lynn NHS Foundation Trust</t>
  </si>
  <si>
    <t>Lewisham and Greenwich NHS trust</t>
  </si>
  <si>
    <t>Liverpool University Hospitals NHS Foundation Trust</t>
  </si>
  <si>
    <t>University Hosptials Bristol and Weston NHS Foundation Trust</t>
  </si>
  <si>
    <t>Shrewsbury and Telford Hospital NHS Trust</t>
  </si>
  <si>
    <t>South West Yorkshire Partnership NHS Foundation Trust</t>
  </si>
  <si>
    <t>West Hertfordshire Hospitals NHS Trust</t>
  </si>
  <si>
    <t>London North West University Healthcare NHS Trust</t>
  </si>
  <si>
    <t>Liverpool Women's NHS Foundation Trust</t>
  </si>
  <si>
    <t>Yeovil District Hospital NHS Foundation Trust</t>
  </si>
  <si>
    <t>South Warwickshire NHS Foundation Trust</t>
  </si>
  <si>
    <t>The Leeds Teaching Hospitals NHS Trust</t>
  </si>
  <si>
    <t>West Suffolk NHS Foundation Trust</t>
  </si>
  <si>
    <t>Moorfields Eye Hospital NHS Foundation Trust</t>
  </si>
  <si>
    <t>Manchester University NHS Foundation Trust</t>
  </si>
  <si>
    <t xml:space="preserve">University Hospitals Birmingham NHS Foundation Trust </t>
  </si>
  <si>
    <t>The Rotherham NHS Foundation Trust</t>
  </si>
  <si>
    <t>North East London NHS Foundation Trust</t>
  </si>
  <si>
    <t>Mersey Care NHS Foundation Trust</t>
  </si>
  <si>
    <t>University Hospitals Coventry &amp; Warwickshire NHS Trust</t>
  </si>
  <si>
    <t>York Teaching Hospital NHS Foundation Trust</t>
  </si>
  <si>
    <t>North Middlesex University Hospital NHS Trust</t>
  </si>
  <si>
    <t>Mid Cheshire Hospitals NHS Foundation Trust</t>
  </si>
  <si>
    <t>University Hospitals of North Midlands NHS Trust</t>
  </si>
  <si>
    <t>Oxleas NHS Foundation Trust</t>
  </si>
  <si>
    <t>North West Ambulance Service NHS Trust</t>
  </si>
  <si>
    <t>Walsall Healthcare NHS Trust</t>
  </si>
  <si>
    <t>Royal Brompton and Harefield NHS Foundation Trust</t>
  </si>
  <si>
    <t>North West Boroughs Healthcare NHS Foundation Trust</t>
  </si>
  <si>
    <t>Worcestershire Acute Hospitals NHS Trust</t>
  </si>
  <si>
    <t>Royal Free London NHS Foundation Trust</t>
  </si>
  <si>
    <t>Pennine Acute Hospitals NHS Trust - Northern Care Alliance</t>
  </si>
  <si>
    <t>Wye Valley NHS Trust</t>
  </si>
  <si>
    <t>Royal Marsden NHS Foundation Trust</t>
  </si>
  <si>
    <t>Pennine Care NHS Foundation Trust</t>
  </si>
  <si>
    <t>Royal National Orthopaedic Hospital NHS Trust</t>
  </si>
  <si>
    <t>Salford Royal NHS Foundation Trust - Northern Care Alliance</t>
  </si>
  <si>
    <t>South London and Maudsley NHS Foundation Trust</t>
  </si>
  <si>
    <t>Southport and Ormskirk Hospital NHS Trust</t>
  </si>
  <si>
    <t>South West London and St George's Mental Health NHS Trust</t>
  </si>
  <si>
    <t>St Helens and Knowsley Teaching Hospitals NHS Trust</t>
  </si>
  <si>
    <t>St George's University Hospitals Foundation NHS Trust</t>
  </si>
  <si>
    <t>Stockport NHS Foundation Trust</t>
  </si>
  <si>
    <t>The Hillingdon Hospitals NHS Foundation Trust</t>
  </si>
  <si>
    <t>Tameside and Glossop Integrated Care NHS Foundation Trust</t>
  </si>
  <si>
    <t>University College London Hospitals NHS Foundation Trust</t>
  </si>
  <si>
    <t>The Christie NHS Foundation Trust</t>
  </si>
  <si>
    <t xml:space="preserve">West London NHS Trust </t>
  </si>
  <si>
    <t>University Hospitals of Morecambe Bay NHS Foundation Trust</t>
  </si>
  <si>
    <t>Whittington Health NHS Trust</t>
  </si>
  <si>
    <t>Warrington and Halton Teaching Hospitals NHS Foundation Trust</t>
  </si>
  <si>
    <t>Wirral University Teaching Hospital NHS Foundation Trust</t>
  </si>
  <si>
    <t>Wrightington, Wigan and Leigh NHS Foundation Trust</t>
  </si>
  <si>
    <t>HEE</t>
  </si>
  <si>
    <t>Category</t>
  </si>
  <si>
    <t>Version</t>
  </si>
  <si>
    <t>Date</t>
  </si>
  <si>
    <t>Initials</t>
  </si>
  <si>
    <t>Form content</t>
  </si>
  <si>
    <t>LSF</t>
  </si>
  <si>
    <t>Form structure</t>
  </si>
  <si>
    <t>DN</t>
  </si>
  <si>
    <t>Pay scales</t>
  </si>
  <si>
    <t>Formulae</t>
  </si>
  <si>
    <t>Guidance</t>
  </si>
  <si>
    <t xml:space="preserve">Issued </t>
  </si>
  <si>
    <t>Versions:</t>
  </si>
  <si>
    <t>Draft</t>
  </si>
  <si>
    <t>For information</t>
  </si>
  <si>
    <t>Final</t>
  </si>
  <si>
    <t>To issue</t>
  </si>
  <si>
    <t>SECTOR</t>
  </si>
  <si>
    <t>NHS    </t>
  </si>
  <si>
    <t>Joint NHS/HE</t>
  </si>
  <si>
    <t>HE provided</t>
  </si>
  <si>
    <t>Local authority provided</t>
  </si>
  <si>
    <t>Other e.g. hospice</t>
  </si>
  <si>
    <t>TYPE</t>
  </si>
  <si>
    <t>Acute</t>
  </si>
  <si>
    <t>Acute &amp; Community</t>
  </si>
  <si>
    <t>Ambulance</t>
  </si>
  <si>
    <t>Arm's Length Body</t>
  </si>
  <si>
    <t>Care Trust</t>
  </si>
  <si>
    <t>Clinical Commissioning Group</t>
  </si>
  <si>
    <t>Commissioning Support</t>
  </si>
  <si>
    <t>Community Trust</t>
  </si>
  <si>
    <t>GPs</t>
  </si>
  <si>
    <t>Higher Education Institution</t>
  </si>
  <si>
    <t>Integrated Care Service/Organisation</t>
  </si>
  <si>
    <t>Learning Disability</t>
  </si>
  <si>
    <t>Local Authority (exc. PH staff)</t>
  </si>
  <si>
    <t>Mental Health</t>
  </si>
  <si>
    <t>Mental Health/Learning Disability</t>
  </si>
  <si>
    <t>Mental Health/Social Care</t>
  </si>
  <si>
    <t>Primary Care - Provider (exc. GPs)</t>
  </si>
  <si>
    <t>Private, Independent &amp; Voluntary (inc. charities)</t>
  </si>
  <si>
    <t>Public Health</t>
  </si>
  <si>
    <t>Social Care</t>
  </si>
  <si>
    <t>Other (please specify in explanation)</t>
  </si>
  <si>
    <t>Hampshire Hospitals NHS Foundation Trust</t>
  </si>
  <si>
    <t>a ii. WTE on NHS LKS Activity</t>
  </si>
  <si>
    <t>Please estimate, from the WTE figure provided in column F, the WTE spent on NHS Library and Knowledge Services activity as distinct from other library and knowledge mobilisation duties (for example: TEL, Medical Education, managing other teams, delivering services to HE etc.)  If staff at this banding spend all their time on NHS LKS activity the figure in this column will be identical to that shown in column E.</t>
  </si>
  <si>
    <t>Count only the highest library/informatics qualification held by each member of staff in post as of 1 March 2021. 
i.e. enter no more than one qualification per staff member</t>
  </si>
  <si>
    <t>How many  apprentices do you currently have?</t>
  </si>
  <si>
    <r>
      <rPr>
        <b/>
        <sz val="12"/>
        <rFont val="Calibri"/>
        <family val="2"/>
      </rPr>
      <t>How many apprentices do you have</t>
    </r>
    <r>
      <rPr>
        <sz val="12"/>
        <rFont val="Calibri"/>
        <family val="2"/>
      </rPr>
      <t xml:space="preserve"> regardless of the apprenticeship for which they are studying? (Use Head Count)</t>
    </r>
  </si>
  <si>
    <t xml:space="preserve">
1.5a to 1.5b</t>
  </si>
  <si>
    <t xml:space="preserve">N.B. These cells must all have the same totals:
      * Section 1  - staff qualifications - total of the Whole Time Equivalent (WTE) staff in post,
      * Section 2 - salary bands - total of the Whole Time Equivalent (WTE) staff in post, 
      * Section 2.8 - salary schemes - total of the Whole Time Equivalent (WTE) staff in post and 
      * Section 3 - staff qualifications by pay band - total of the Whole Time Equivalent (WTE) of staff in post </t>
  </si>
  <si>
    <t xml:space="preserve">N.B. These cells must all have the same totals or the form will not save:
      * Section 1  - staff qualifications - total of the Whole Time Equivalent (WTE) staff in post,
      * Section 2 - salary bands - total of the Whole Time Equivalent (WTE) staff in post, 
      * Section 2.8 - salary schemes- total of the Whole Time Equivalent (WTE) staff in post and 
      * Section 3 - staff qualifications by pay band - total of the Whole Time Equivalent (WTE) of staff in post </t>
  </si>
  <si>
    <r>
      <rPr>
        <b/>
        <sz val="12"/>
        <rFont val="Calibri"/>
        <family val="2"/>
      </rPr>
      <t>Clinical/embedded/outreach vacancies in 2020-21</t>
    </r>
    <r>
      <rPr>
        <sz val="12"/>
        <rFont val="Calibri"/>
        <family val="2"/>
      </rPr>
      <t xml:space="preserve">
If the posts where Bands 5 to 8 delivered outreach services in 2020-21 are vacant in 2021-22 please 
DO NOT enter the data in the table in Section 4 as it will skew the figures.
Please add it as a note in the "Additional comments from LKS Manager" box.
              e.g. In 2019-20 we had 0.2WTE band 5 who delivered outreach service but post vacant in 2020-21</t>
    </r>
  </si>
  <si>
    <t>Please add it as a note in the "Additional comments from LKS Manager" box.</t>
  </si>
  <si>
    <t xml:space="preserve">              e.g. In 2019-20 we had 0.2WTE band 5 who delivered outreach service but post vacant in 2020-21</t>
  </si>
  <si>
    <t>Section 5: Facilitating and implementing knowledge mobilisation tools and techniques - TIME SPENT</t>
  </si>
  <si>
    <t>Facilitating and implementing knowledge mobilisation tools and techniques 2020-21</t>
  </si>
  <si>
    <t>Count only library service-related NVQs and completed library/information/archive assistant apprenticeships here.</t>
  </si>
  <si>
    <t xml:space="preserve">Include non-LIS NVQs such as Business Administration, Customer Service etc, include non library apprenticeships and those undertaking library/information/archive assistant apprenticeship but who have not yet completed. </t>
  </si>
  <si>
    <t>Facilitating and implementing knowledge mobilisation tools and techniques - TIME SPENT</t>
  </si>
  <si>
    <t>WTE currently undertaking an apprenticeship</t>
  </si>
  <si>
    <t>Para-professionally qualified library staff (i.e. ACLIP, LIS NVQ, City and Guilds, completed library/information/archive assistant level 3 apprenticeships)</t>
  </si>
  <si>
    <t>If your apprentice is studying something other than level 3 library/information/archive then tell us what they are studying and what level in the explanation box.</t>
  </si>
  <si>
    <r>
      <t xml:space="preserve">
</t>
    </r>
    <r>
      <rPr>
        <b/>
        <sz val="12"/>
        <rFont val="Calibri"/>
        <family val="2"/>
      </rPr>
      <t>1.5a</t>
    </r>
    <r>
      <rPr>
        <sz val="12"/>
        <rFont val="Calibri"/>
        <family val="2"/>
      </rPr>
      <t xml:space="preserve"> Headcount of apprentices undertaking level 3 library/information/archive assistant
</t>
    </r>
    <r>
      <rPr>
        <b/>
        <sz val="12"/>
        <rFont val="Calibri"/>
        <family val="2"/>
      </rPr>
      <t>1.5b</t>
    </r>
    <r>
      <rPr>
        <sz val="12"/>
        <rFont val="Calibri"/>
        <family val="2"/>
      </rPr>
      <t xml:space="preserve"> Headcount of apprentices undertaking others apprenticeships</t>
    </r>
  </si>
  <si>
    <t xml:space="preserve">If the posts where Bands 1 to 8 delivered knowledge mobilisation services in 2020-21 are vacant in 2021-22 please </t>
  </si>
  <si>
    <t xml:space="preserve">The names of 21 "Service/Organisation" type are provided as a drop-down list. Click in the "type of service/organisation" cell in the relevant row to assign a type to each organisation listed.
Ensure there is an organisation name for every  "Service/Organisation" type listed </t>
  </si>
  <si>
    <t xml:space="preserve">Please complete all information as at 1 April 2021.
Record ONLY the highest level qualification NOT ALL qualifications held. </t>
  </si>
  <si>
    <r>
      <t>NB Please include</t>
    </r>
    <r>
      <rPr>
        <b/>
        <u/>
        <sz val="12"/>
        <color rgb="FF0000FF"/>
        <rFont val="Calibri"/>
        <family val="2"/>
      </rPr>
      <t xml:space="preserve"> all staff</t>
    </r>
    <r>
      <rPr>
        <b/>
        <sz val="12"/>
        <color indexed="12"/>
        <rFont val="Calibri"/>
        <family val="2"/>
      </rPr>
      <t xml:space="preserve"> including apprentices in "Whole Time Equivalent (WTE) staff in post" for 1.1 to 1.3
Then include only those staff currently undertaking an apprenticeship in cells G38 to G40. By counting apprentices in this way double counting should not happen. </t>
    </r>
  </si>
  <si>
    <t>Please provide an informed judgement on the proportion of time (Whole time equivalence) that your staff (in post in 2020-21) spent delivering clinical/embedded/outreach librarian services in 2020-21</t>
  </si>
  <si>
    <t>Please provide an informed judgement on the proportion of time (Whole time equivalence) that your staff (in post in 2020-21) spent facilitating and implementing knowledge mobilisation tools and technique in 2020-21</t>
  </si>
  <si>
    <t>DO NOT enter the data in the table in Section 5 as it will skew the figures.</t>
  </si>
  <si>
    <t>DEFINITION</t>
  </si>
  <si>
    <t>Knowledge mobilisation activities facilitate learning before, during or after a piece of work. This can include facilitating knowledge capture activities such as after action reviews and retrospects, as well as knowledge sharing activities such as randomised coffee trials or knowledge cafes, or curating knowledge assets such as maintaining a repository of locally produced research, intranet pages or ensuring local policies and procedures are kept updated and based upon evidence and good practice.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</si>
</sst>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6" formatCode="&quot;£&quot;#,##0;[Red]\-&quot;£&quot;#,##0"/>
    <numFmt numFmtId="164" formatCode="0.0"/>
    <numFmt numFmtId="165" formatCode="0.000"/>
    <numFmt numFmtId="166" formatCode="0\ &quot;Unrecorded Staff Types&quot;"/>
    <numFmt numFmtId="167" formatCode="0\ &quot;Named  organisations recorded&quot;"/>
    <numFmt numFmtId="168" formatCode="0\ &quot; Type of organisation(s) recorded&quot;"/>
    <numFmt numFmtId="169" formatCode="0\ &quot;Other type or annotations recorded&quot;"/>
    <numFmt numFmtId="170" formatCode="0.00\ &quot; WTE in post&quot;"/>
    <numFmt numFmtId="171" formatCode="0.00\ &quot; subtotals of headcount&quot;"/>
    <numFmt numFmtId="172" formatCode="0.00\ &quot; WTE Salary Schemes&quot;"/>
    <numFmt numFmtId="173" formatCode="dd/mm/yy;@"/>
    <numFmt numFmtId="174" formatCode="0\ &quot; Apprentices recorded&quot;"/>
    <numFmt numFmtId="175" formatCode="0.00\ &quot;WTEs&quot;"/>
    <numFmt numFmtId="176" formatCode="0\ &quot;staff&quot;"/>
  </numFmts>
  <fonts count="64" x14ac:knownFonts="1">
    <font>
      <sz val="10"/>
      <name val="Arial"/>
    </font>
    <font>
      <sz val="11"/>
      <color theme="1"/>
      <name val="Calibri"/>
      <family val="2"/>
      <scheme val="minor"/>
    </font>
    <font>
      <sz val="8"/>
      <color indexed="81"/>
      <name val="Tahoma"/>
      <family val="2"/>
    </font>
    <font>
      <b/>
      <sz val="8"/>
      <color indexed="81"/>
      <name val="Tahoma"/>
      <family val="2"/>
    </font>
    <font>
      <b/>
      <sz val="10"/>
      <name val="Calibri"/>
      <family val="2"/>
    </font>
    <font>
      <b/>
      <sz val="10"/>
      <color indexed="17"/>
      <name val="Calibri"/>
      <family val="2"/>
    </font>
    <font>
      <sz val="10"/>
      <name val="Calibri"/>
      <family val="2"/>
    </font>
    <font>
      <u/>
      <sz val="10"/>
      <name val="Calibri"/>
      <family val="2"/>
    </font>
    <font>
      <b/>
      <sz val="10"/>
      <color indexed="10"/>
      <name val="Calibri"/>
      <family val="2"/>
    </font>
    <font>
      <sz val="10"/>
      <color indexed="14"/>
      <name val="Calibri"/>
      <family val="2"/>
    </font>
    <font>
      <sz val="10"/>
      <color indexed="8"/>
      <name val="Calibri"/>
      <family val="2"/>
    </font>
    <font>
      <sz val="10"/>
      <color indexed="12"/>
      <name val="Calibri"/>
      <family val="2"/>
    </font>
    <font>
      <sz val="10"/>
      <color indexed="10"/>
      <name val="Calibri"/>
      <family val="2"/>
    </font>
    <font>
      <b/>
      <sz val="10"/>
      <color indexed="12"/>
      <name val="Calibri"/>
      <family val="2"/>
    </font>
    <font>
      <sz val="10"/>
      <color indexed="17"/>
      <name val="Calibri"/>
      <family val="2"/>
    </font>
    <font>
      <b/>
      <sz val="9"/>
      <color indexed="17"/>
      <name val="Calibri"/>
      <family val="2"/>
    </font>
    <font>
      <sz val="8"/>
      <name val="Arial"/>
      <family val="2"/>
    </font>
    <font>
      <b/>
      <u/>
      <sz val="10"/>
      <name val="Calibri"/>
      <family val="2"/>
    </font>
    <font>
      <sz val="9"/>
      <color indexed="81"/>
      <name val="Tahoma"/>
      <family val="2"/>
    </font>
    <font>
      <b/>
      <sz val="9"/>
      <color indexed="81"/>
      <name val="Tahoma"/>
      <family val="2"/>
    </font>
    <font>
      <b/>
      <sz val="11"/>
      <color indexed="10"/>
      <name val="Calibri"/>
      <family val="2"/>
    </font>
    <font>
      <u/>
      <sz val="10"/>
      <color indexed="10"/>
      <name val="Calibri"/>
      <family val="2"/>
    </font>
    <font>
      <sz val="16"/>
      <name val="Calibri"/>
      <family val="2"/>
    </font>
    <font>
      <b/>
      <sz val="10"/>
      <color rgb="FFFF0000"/>
      <name val="Calibri"/>
      <family val="2"/>
    </font>
    <font>
      <i/>
      <sz val="10"/>
      <name val="Calibri"/>
      <family val="2"/>
    </font>
    <font>
      <u/>
      <sz val="10"/>
      <color theme="10"/>
      <name val="Arial"/>
      <family val="2"/>
    </font>
    <font>
      <sz val="12"/>
      <name val="Calibri"/>
      <family val="2"/>
    </font>
    <font>
      <u/>
      <sz val="8"/>
      <color theme="10"/>
      <name val="Arial"/>
      <family val="2"/>
    </font>
    <font>
      <u/>
      <sz val="9"/>
      <color indexed="81"/>
      <name val="Tahoma"/>
      <family val="2"/>
    </font>
    <font>
      <b/>
      <sz val="10"/>
      <color rgb="FF339933"/>
      <name val="Calibri"/>
      <family val="2"/>
    </font>
    <font>
      <b/>
      <sz val="10"/>
      <color rgb="FF008000"/>
      <name val="Calibri"/>
      <family val="2"/>
    </font>
    <font>
      <sz val="8"/>
      <name val="Calibri"/>
      <family val="2"/>
    </font>
    <font>
      <b/>
      <sz val="11"/>
      <color rgb="FF008000"/>
      <name val="Calibri"/>
      <family val="2"/>
    </font>
    <font>
      <sz val="10"/>
      <color indexed="81"/>
      <name val="Tahoma"/>
      <family val="2"/>
    </font>
    <font>
      <b/>
      <sz val="10"/>
      <name val="Calibri"/>
      <family val="2"/>
      <scheme val="minor"/>
    </font>
    <font>
      <sz val="10"/>
      <name val="Calibri"/>
      <family val="2"/>
      <scheme val="minor"/>
    </font>
    <font>
      <sz val="10"/>
      <color theme="0"/>
      <name val="Calibri"/>
      <family val="2"/>
    </font>
    <font>
      <sz val="10"/>
      <color rgb="FF7030A0"/>
      <name val="Calibri"/>
      <family val="2"/>
    </font>
    <font>
      <b/>
      <sz val="10"/>
      <color theme="3"/>
      <name val="Calibri"/>
      <family val="2"/>
    </font>
    <font>
      <sz val="10"/>
      <color theme="3"/>
      <name val="Calibri"/>
      <family val="2"/>
    </font>
    <font>
      <b/>
      <sz val="12"/>
      <name val="Calibri"/>
      <family val="2"/>
    </font>
    <font>
      <b/>
      <sz val="12"/>
      <color theme="3"/>
      <name val="Calibri"/>
      <family val="2"/>
    </font>
    <font>
      <b/>
      <sz val="12"/>
      <color indexed="12"/>
      <name val="Calibri"/>
      <family val="2"/>
    </font>
    <font>
      <b/>
      <sz val="12"/>
      <color rgb="FFFF0000"/>
      <name val="Calibri"/>
      <family val="2"/>
    </font>
    <font>
      <sz val="12"/>
      <color indexed="10"/>
      <name val="Calibri"/>
      <family val="2"/>
    </font>
    <font>
      <sz val="12"/>
      <color indexed="12"/>
      <name val="Calibri"/>
      <family val="2"/>
    </font>
    <font>
      <sz val="12"/>
      <color indexed="8"/>
      <name val="Calibri"/>
      <family val="2"/>
    </font>
    <font>
      <b/>
      <sz val="12"/>
      <color indexed="10"/>
      <name val="Calibri"/>
      <family val="2"/>
    </font>
    <font>
      <b/>
      <sz val="12"/>
      <color indexed="17"/>
      <name val="Calibri"/>
      <family val="2"/>
    </font>
    <font>
      <i/>
      <sz val="12"/>
      <name val="Calibri"/>
      <family val="2"/>
    </font>
    <font>
      <sz val="12"/>
      <name val="Arial"/>
      <family val="2"/>
    </font>
    <font>
      <sz val="10"/>
      <name val="Arial"/>
      <family val="2"/>
    </font>
    <font>
      <b/>
      <sz val="11"/>
      <color theme="3"/>
      <name val="Calibri"/>
      <family val="2"/>
    </font>
    <font>
      <b/>
      <i/>
      <sz val="10"/>
      <name val="Calibri"/>
      <family val="2"/>
    </font>
    <font>
      <b/>
      <sz val="12"/>
      <color theme="9"/>
      <name val="Calibri"/>
      <family val="2"/>
    </font>
    <font>
      <sz val="10"/>
      <color rgb="FFFF0000"/>
      <name val="Calibri"/>
      <family val="2"/>
    </font>
    <font>
      <b/>
      <sz val="11"/>
      <color rgb="FFFF0000"/>
      <name val="Calibri"/>
      <family val="2"/>
    </font>
    <font>
      <sz val="9"/>
      <name val="Calibri"/>
      <family val="2"/>
    </font>
    <font>
      <b/>
      <sz val="9"/>
      <color rgb="FFFF0000"/>
      <name val="Calibri"/>
      <family val="2"/>
    </font>
    <font>
      <sz val="10"/>
      <color theme="4" tint="-0.249977111117893"/>
      <name val="Calibri"/>
      <family val="2"/>
    </font>
    <font>
      <sz val="12"/>
      <color rgb="FFFF0000"/>
      <name val="Calibri"/>
      <family val="2"/>
    </font>
    <font>
      <sz val="10"/>
      <color theme="1"/>
      <name val="Calibri"/>
      <family val="2"/>
      <scheme val="minor"/>
    </font>
    <font>
      <b/>
      <sz val="12"/>
      <color rgb="FF3333FF"/>
      <name val="Calibri"/>
      <family val="2"/>
    </font>
    <font>
      <b/>
      <u/>
      <sz val="12"/>
      <color rgb="FF0000FF"/>
      <name val="Calibri"/>
      <family val="2"/>
    </font>
  </fonts>
  <fills count="16">
    <fill>
      <patternFill patternType="none"/>
    </fill>
    <fill>
      <patternFill patternType="gray125"/>
    </fill>
    <fill>
      <patternFill patternType="solid">
        <fgColor indexed="9"/>
        <bgColor indexed="9"/>
      </patternFill>
    </fill>
    <fill>
      <patternFill patternType="solid">
        <fgColor indexed="9"/>
        <bgColor indexed="64"/>
      </patternFill>
    </fill>
    <fill>
      <patternFill patternType="solid">
        <fgColor indexed="27"/>
        <bgColor indexed="64"/>
      </patternFill>
    </fill>
    <fill>
      <patternFill patternType="solid">
        <fgColor indexed="27"/>
        <bgColor indexed="9"/>
      </patternFill>
    </fill>
    <fill>
      <patternFill patternType="solid">
        <fgColor indexed="43"/>
        <bgColor indexed="9"/>
      </patternFill>
    </fill>
    <fill>
      <patternFill patternType="solid">
        <fgColor rgb="FFFFFFCC"/>
        <bgColor indexed="9"/>
      </patternFill>
    </fill>
    <fill>
      <patternFill patternType="solid">
        <fgColor theme="9" tint="0.59999389629810485"/>
        <bgColor indexed="9"/>
      </patternFill>
    </fill>
    <fill>
      <patternFill patternType="solid">
        <fgColor theme="0" tint="-0.14999847407452621"/>
        <bgColor indexed="9"/>
      </patternFill>
    </fill>
    <fill>
      <patternFill patternType="solid">
        <fgColor theme="4" tint="0.79998168889431442"/>
        <bgColor indexed="9"/>
      </patternFill>
    </fill>
    <fill>
      <patternFill patternType="solid">
        <fgColor rgb="FF99FF33"/>
        <bgColor indexed="9"/>
      </patternFill>
    </fill>
    <fill>
      <patternFill patternType="solid">
        <fgColor theme="6" tint="0.79998168889431442"/>
        <bgColor indexed="9"/>
      </patternFill>
    </fill>
    <fill>
      <patternFill patternType="solid">
        <fgColor rgb="FFFFFF00"/>
        <bgColor indexed="9"/>
      </patternFill>
    </fill>
    <fill>
      <patternFill patternType="solid">
        <fgColor rgb="FF3333FF"/>
        <bgColor indexed="9"/>
      </patternFill>
    </fill>
    <fill>
      <patternFill patternType="solid">
        <fgColor rgb="FFFFFF99"/>
        <bgColor indexed="9"/>
      </patternFill>
    </fill>
  </fills>
  <borders count="58">
    <border>
      <left/>
      <right/>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theme="0" tint="-0.14999847407452621"/>
      </top>
      <bottom style="thin">
        <color theme="0" tint="-0.14999847407452621"/>
      </bottom>
      <diagonal/>
    </border>
    <border>
      <left/>
      <right/>
      <top style="thin">
        <color rgb="FFFF0000"/>
      </top>
      <bottom/>
      <diagonal/>
    </border>
    <border>
      <left style="thin">
        <color rgb="FFFF0000"/>
      </left>
      <right style="double">
        <color rgb="FFFF0000"/>
      </right>
      <top/>
      <bottom style="thin">
        <color rgb="FFFF0000"/>
      </bottom>
      <diagonal/>
    </border>
    <border>
      <left/>
      <right style="thin">
        <color rgb="FFFF0000"/>
      </right>
      <top style="double">
        <color rgb="FFFF0000"/>
      </top>
      <bottom style="double">
        <color rgb="FFFF0000"/>
      </bottom>
      <diagonal/>
    </border>
    <border>
      <left style="double">
        <color rgb="FFFF0000"/>
      </left>
      <right/>
      <top style="double">
        <color rgb="FFFF0000"/>
      </top>
      <bottom style="double">
        <color rgb="FFFF0000"/>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double">
        <color theme="6" tint="0.39997558519241921"/>
      </left>
      <right style="double">
        <color theme="6" tint="0.39997558519241921"/>
      </right>
      <top style="double">
        <color theme="6" tint="0.39997558519241921"/>
      </top>
      <bottom style="thin">
        <color indexed="64"/>
      </bottom>
      <diagonal/>
    </border>
    <border>
      <left style="double">
        <color theme="6" tint="0.39997558519241921"/>
      </left>
      <right style="double">
        <color theme="6" tint="0.39997558519241921"/>
      </right>
      <top style="thin">
        <color indexed="64"/>
      </top>
      <bottom style="thin">
        <color indexed="64"/>
      </bottom>
      <diagonal/>
    </border>
    <border>
      <left style="double">
        <color theme="6" tint="0.39997558519241921"/>
      </left>
      <right style="double">
        <color theme="6" tint="0.39997558519241921"/>
      </right>
      <top style="thin">
        <color indexed="64"/>
      </top>
      <bottom style="double">
        <color theme="6" tint="0.39997558519241921"/>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s>
  <cellStyleXfs count="4">
    <xf numFmtId="0" fontId="0" fillId="0" borderId="0"/>
    <xf numFmtId="0" fontId="25" fillId="0" borderId="0" applyNumberFormat="0" applyFill="0" applyBorder="0" applyAlignment="0" applyProtection="0"/>
    <xf numFmtId="0" fontId="51" fillId="0" borderId="0"/>
    <xf numFmtId="0" fontId="1" fillId="0" borderId="0"/>
  </cellStyleXfs>
  <cellXfs count="364">
    <xf numFmtId="0" fontId="0" fillId="0" borderId="0" xfId="0"/>
    <xf numFmtId="0" fontId="6" fillId="2" borderId="0" xfId="0" applyFont="1" applyFill="1"/>
    <xf numFmtId="0" fontId="12" fillId="2" borderId="0" xfId="0" applyFont="1" applyFill="1"/>
    <xf numFmtId="0" fontId="4" fillId="2" borderId="0" xfId="0" applyFont="1" applyFill="1"/>
    <xf numFmtId="0" fontId="6" fillId="0" borderId="0" xfId="0" applyFont="1"/>
    <xf numFmtId="0" fontId="6" fillId="2" borderId="0" xfId="0" applyFont="1" applyFill="1" applyAlignment="1">
      <alignment vertical="center"/>
    </xf>
    <xf numFmtId="49" fontId="6" fillId="2" borderId="0" xfId="0" applyNumberFormat="1" applyFont="1" applyFill="1" applyAlignment="1">
      <alignment horizontal="left" vertical="center"/>
    </xf>
    <xf numFmtId="0" fontId="7" fillId="2" borderId="0" xfId="0" applyFont="1" applyFill="1" applyAlignment="1">
      <alignment horizontal="left" vertical="center"/>
    </xf>
    <xf numFmtId="0" fontId="5" fillId="2" borderId="0" xfId="0" applyFont="1" applyFill="1"/>
    <xf numFmtId="0" fontId="14" fillId="2" borderId="0" xfId="0" applyFont="1" applyFill="1" applyAlignment="1">
      <alignment horizontal="left"/>
    </xf>
    <xf numFmtId="0" fontId="4" fillId="2" borderId="0" xfId="0" applyFont="1" applyFill="1" applyAlignment="1">
      <alignment vertical="center" wrapText="1"/>
    </xf>
    <xf numFmtId="0" fontId="4" fillId="2" borderId="0" xfId="0" applyFont="1" applyFill="1" applyAlignment="1">
      <alignment horizontal="center" vertical="center" wrapText="1"/>
    </xf>
    <xf numFmtId="0" fontId="9" fillId="2" borderId="0" xfId="0" applyFont="1" applyFill="1"/>
    <xf numFmtId="0" fontId="4" fillId="2" borderId="0" xfId="0" applyFont="1" applyFill="1" applyAlignment="1">
      <alignment horizontal="center" vertical="center"/>
    </xf>
    <xf numFmtId="0" fontId="10" fillId="2" borderId="0" xfId="0" applyFont="1" applyFill="1" applyAlignment="1">
      <alignment vertical="center"/>
    </xf>
    <xf numFmtId="0" fontId="6" fillId="3" borderId="0" xfId="0" applyFont="1" applyFill="1" applyAlignment="1">
      <alignment vertical="center"/>
    </xf>
    <xf numFmtId="0" fontId="11" fillId="2" borderId="0" xfId="0" applyFont="1" applyFill="1" applyAlignment="1">
      <alignment vertical="center"/>
    </xf>
    <xf numFmtId="0" fontId="8" fillId="0" borderId="0" xfId="0" applyFont="1" applyAlignment="1">
      <alignment vertical="center" wrapText="1"/>
    </xf>
    <xf numFmtId="6" fontId="6" fillId="2" borderId="0" xfId="0" applyNumberFormat="1" applyFont="1" applyFill="1" applyAlignment="1">
      <alignment vertical="center"/>
    </xf>
    <xf numFmtId="0" fontId="4" fillId="0" borderId="0" xfId="0" applyFont="1" applyAlignment="1">
      <alignment horizontal="center" vertical="center"/>
    </xf>
    <xf numFmtId="0" fontId="6" fillId="0" borderId="0" xfId="0" applyFont="1" applyAlignment="1">
      <alignment horizontal="left" indent="1"/>
    </xf>
    <xf numFmtId="0" fontId="17" fillId="2" borderId="0" xfId="0" applyFont="1" applyFill="1"/>
    <xf numFmtId="0" fontId="6" fillId="2" borderId="0" xfId="0" applyFont="1" applyFill="1" applyAlignment="1">
      <alignment horizontal="left" indent="1"/>
    </xf>
    <xf numFmtId="0" fontId="21" fillId="2" borderId="0" xfId="0" applyFont="1" applyFill="1" applyAlignment="1">
      <alignment horizontal="left" vertical="center"/>
    </xf>
    <xf numFmtId="0" fontId="7" fillId="2" borderId="0" xfId="0" applyFont="1" applyFill="1" applyAlignment="1">
      <alignment vertical="center"/>
    </xf>
    <xf numFmtId="164" fontId="6" fillId="2" borderId="0" xfId="0" applyNumberFormat="1" applyFont="1" applyFill="1" applyAlignment="1">
      <alignment horizontal="left" vertical="center"/>
    </xf>
    <xf numFmtId="0" fontId="4" fillId="0" borderId="9" xfId="0" applyFont="1" applyBorder="1" applyAlignment="1">
      <alignment horizontal="center" vertical="center" wrapText="1"/>
    </xf>
    <xf numFmtId="0" fontId="6" fillId="2" borderId="11" xfId="0" applyFont="1" applyFill="1" applyBorder="1" applyAlignment="1" applyProtection="1">
      <alignment horizontal="left" wrapText="1"/>
      <protection locked="0"/>
    </xf>
    <xf numFmtId="0" fontId="6" fillId="2" borderId="12" xfId="0" applyFont="1" applyFill="1" applyBorder="1" applyAlignment="1" applyProtection="1">
      <alignment horizontal="left" wrapText="1"/>
      <protection locked="0"/>
    </xf>
    <xf numFmtId="14" fontId="6" fillId="2" borderId="13" xfId="0" applyNumberFormat="1" applyFont="1" applyFill="1" applyBorder="1" applyAlignment="1" applyProtection="1">
      <alignment horizontal="left" wrapText="1"/>
      <protection locked="0"/>
    </xf>
    <xf numFmtId="0" fontId="4" fillId="5" borderId="6" xfId="0" applyFont="1" applyFill="1" applyBorder="1"/>
    <xf numFmtId="0" fontId="4" fillId="5" borderId="7" xfId="0" applyFont="1" applyFill="1" applyBorder="1"/>
    <xf numFmtId="0" fontId="17" fillId="2" borderId="0" xfId="0" applyFont="1" applyFill="1" applyAlignment="1">
      <alignment vertical="center"/>
    </xf>
    <xf numFmtId="0" fontId="4" fillId="5" borderId="14" xfId="0" applyFont="1" applyFill="1" applyBorder="1" applyAlignment="1">
      <alignment horizontal="center" vertical="top" wrapText="1"/>
    </xf>
    <xf numFmtId="0" fontId="4" fillId="5" borderId="15" xfId="0" applyFont="1" applyFill="1" applyBorder="1" applyAlignment="1">
      <alignment horizontal="center" vertical="top" wrapText="1"/>
    </xf>
    <xf numFmtId="0" fontId="4" fillId="5" borderId="16" xfId="0" applyFont="1" applyFill="1" applyBorder="1" applyAlignment="1">
      <alignment horizontal="center" vertical="top" wrapText="1"/>
    </xf>
    <xf numFmtId="165" fontId="6" fillId="2" borderId="0" xfId="0" applyNumberFormat="1" applyFont="1" applyFill="1" applyAlignment="1">
      <alignment horizontal="left"/>
    </xf>
    <xf numFmtId="1" fontId="6" fillId="2" borderId="0" xfId="0" applyNumberFormat="1" applyFont="1" applyFill="1" applyAlignment="1">
      <alignment horizontal="left"/>
    </xf>
    <xf numFmtId="2" fontId="6" fillId="2" borderId="0" xfId="0" applyNumberFormat="1" applyFont="1" applyFill="1" applyAlignment="1">
      <alignment horizontal="left"/>
    </xf>
    <xf numFmtId="0" fontId="4" fillId="5" borderId="17" xfId="0" applyFont="1" applyFill="1" applyBorder="1" applyAlignment="1">
      <alignment horizontal="center" vertical="center" wrapText="1"/>
    </xf>
    <xf numFmtId="2" fontId="4" fillId="6" borderId="18" xfId="0" applyNumberFormat="1" applyFont="1" applyFill="1" applyBorder="1" applyAlignment="1">
      <alignment horizontal="center" vertical="center"/>
    </xf>
    <xf numFmtId="0" fontId="4" fillId="5" borderId="8" xfId="0" applyFont="1" applyFill="1" applyBorder="1" applyAlignment="1">
      <alignment horizontal="left" vertical="center" wrapText="1"/>
    </xf>
    <xf numFmtId="0" fontId="5" fillId="0" borderId="0" xfId="0" applyFont="1" applyAlignment="1">
      <alignment horizontal="left" vertical="center" wrapText="1"/>
    </xf>
    <xf numFmtId="0" fontId="6" fillId="2" borderId="0" xfId="0" applyFont="1" applyFill="1" applyAlignment="1">
      <alignment horizontal="left" vertical="center" indent="2"/>
    </xf>
    <xf numFmtId="0" fontId="25" fillId="2" borderId="0" xfId="1" applyFill="1"/>
    <xf numFmtId="0" fontId="29" fillId="2" borderId="0" xfId="0" applyFont="1" applyFill="1" applyAlignment="1">
      <alignment vertical="center"/>
    </xf>
    <xf numFmtId="0" fontId="4" fillId="5" borderId="6" xfId="0" applyFont="1" applyFill="1" applyBorder="1" applyAlignment="1">
      <alignment vertical="center"/>
    </xf>
    <xf numFmtId="0" fontId="4" fillId="5" borderId="7" xfId="0" applyFont="1" applyFill="1" applyBorder="1" applyAlignment="1">
      <alignment vertical="center"/>
    </xf>
    <xf numFmtId="0" fontId="4" fillId="5" borderId="8" xfId="0" applyFont="1" applyFill="1" applyBorder="1" applyAlignment="1">
      <alignment vertical="center" wrapText="1"/>
    </xf>
    <xf numFmtId="49" fontId="6" fillId="2" borderId="0" xfId="0" applyNumberFormat="1" applyFont="1" applyFill="1" applyAlignment="1">
      <alignment horizontal="left" vertical="center" indent="4"/>
    </xf>
    <xf numFmtId="0" fontId="6" fillId="2" borderId="19" xfId="0" applyFont="1" applyFill="1" applyBorder="1"/>
    <xf numFmtId="0" fontId="32" fillId="2" borderId="0" xfId="0" applyFont="1" applyFill="1" applyAlignment="1">
      <alignment vertical="center" wrapText="1"/>
    </xf>
    <xf numFmtId="49" fontId="20" fillId="2" borderId="0" xfId="0" applyNumberFormat="1" applyFont="1" applyFill="1" applyAlignment="1">
      <alignment horizontal="left"/>
    </xf>
    <xf numFmtId="173" fontId="34" fillId="0" borderId="5" xfId="0" applyNumberFormat="1" applyFont="1" applyBorder="1"/>
    <xf numFmtId="0" fontId="34" fillId="0" borderId="5" xfId="0" applyFont="1" applyBorder="1"/>
    <xf numFmtId="0" fontId="35" fillId="0" borderId="5" xfId="0" applyFont="1" applyBorder="1"/>
    <xf numFmtId="14" fontId="35" fillId="0" borderId="5" xfId="0" applyNumberFormat="1" applyFont="1" applyBorder="1"/>
    <xf numFmtId="0" fontId="35" fillId="0" borderId="0" xfId="0" applyFont="1"/>
    <xf numFmtId="49" fontId="36" fillId="2" borderId="0" xfId="0" applyNumberFormat="1" applyFont="1" applyFill="1"/>
    <xf numFmtId="49" fontId="36" fillId="2" borderId="0" xfId="0" applyNumberFormat="1" applyFont="1" applyFill="1" applyAlignment="1">
      <alignment vertical="center"/>
    </xf>
    <xf numFmtId="0" fontId="25" fillId="0" borderId="12" xfId="1" applyBorder="1" applyProtection="1">
      <protection locked="0"/>
    </xf>
    <xf numFmtId="0" fontId="38" fillId="0" borderId="0" xfId="0" applyFont="1" applyAlignment="1">
      <alignment horizontal="left" vertical="center" wrapText="1"/>
    </xf>
    <xf numFmtId="0" fontId="39" fillId="2" borderId="0" xfId="0" applyFont="1" applyFill="1" applyAlignment="1">
      <alignment vertical="center"/>
    </xf>
    <xf numFmtId="0" fontId="26" fillId="0" borderId="0" xfId="0" applyFont="1" applyAlignment="1">
      <alignment vertical="center"/>
    </xf>
    <xf numFmtId="0" fontId="45" fillId="0" borderId="0" xfId="0" applyFont="1" applyAlignment="1">
      <alignment vertical="center"/>
    </xf>
    <xf numFmtId="1" fontId="6" fillId="2" borderId="4" xfId="0" applyNumberFormat="1" applyFont="1" applyFill="1" applyBorder="1" applyAlignment="1" applyProtection="1">
      <alignment horizontal="center" vertical="center"/>
      <protection locked="0"/>
    </xf>
    <xf numFmtId="1" fontId="6" fillId="2" borderId="5" xfId="0" applyNumberFormat="1" applyFont="1" applyFill="1" applyBorder="1" applyAlignment="1" applyProtection="1">
      <alignment horizontal="center" vertical="center"/>
      <protection locked="0"/>
    </xf>
    <xf numFmtId="0" fontId="5" fillId="2" borderId="0" xfId="0" applyFont="1" applyFill="1" applyAlignment="1">
      <alignment horizontal="left"/>
    </xf>
    <xf numFmtId="0" fontId="5" fillId="2" borderId="0" xfId="0" applyFont="1" applyFill="1" applyAlignment="1">
      <alignment horizontal="right"/>
    </xf>
    <xf numFmtId="0" fontId="52" fillId="2" borderId="0" xfId="0" applyFont="1" applyFill="1" applyAlignment="1">
      <alignment vertical="center" wrapText="1"/>
    </xf>
    <xf numFmtId="0" fontId="38" fillId="2" borderId="0" xfId="0" applyFont="1" applyFill="1" applyAlignment="1">
      <alignment horizontal="right"/>
    </xf>
    <xf numFmtId="0" fontId="5" fillId="0" borderId="0" xfId="0" applyFont="1" applyAlignment="1">
      <alignment vertical="center" wrapText="1"/>
    </xf>
    <xf numFmtId="0" fontId="15" fillId="0" borderId="0" xfId="0" applyFont="1" applyAlignment="1">
      <alignment horizontal="center" vertical="top" wrapText="1"/>
    </xf>
    <xf numFmtId="0" fontId="6" fillId="2" borderId="0" xfId="0" applyFont="1" applyFill="1" applyAlignment="1">
      <alignment horizontal="center" vertical="center"/>
    </xf>
    <xf numFmtId="0" fontId="6" fillId="2" borderId="5" xfId="0" applyFont="1" applyFill="1" applyBorder="1" applyAlignment="1">
      <alignment horizontal="center" vertical="center"/>
    </xf>
    <xf numFmtId="0" fontId="22" fillId="8" borderId="0" xfId="0" applyFont="1" applyFill="1" applyAlignment="1">
      <alignment horizontal="center" vertical="center"/>
    </xf>
    <xf numFmtId="0" fontId="6" fillId="2" borderId="0" xfId="0" applyFont="1" applyFill="1" applyAlignment="1">
      <alignment horizontal="left" indent="2"/>
    </xf>
    <xf numFmtId="0" fontId="6" fillId="2" borderId="5" xfId="0" applyFont="1" applyFill="1" applyBorder="1" applyAlignment="1">
      <alignment horizontal="left" vertical="center" indent="2"/>
    </xf>
    <xf numFmtId="166" fontId="24" fillId="7" borderId="5" xfId="0" applyNumberFormat="1" applyFont="1" applyFill="1" applyBorder="1" applyAlignment="1">
      <alignment horizontal="right" vertical="center" indent="2"/>
    </xf>
    <xf numFmtId="0" fontId="6" fillId="2" borderId="5" xfId="0" applyFont="1" applyFill="1" applyBorder="1" applyAlignment="1">
      <alignment horizontal="left" vertical="center" wrapText="1" indent="2"/>
    </xf>
    <xf numFmtId="0" fontId="25" fillId="2" borderId="0" xfId="1" applyFill="1" applyAlignment="1">
      <alignment vertical="center"/>
    </xf>
    <xf numFmtId="0" fontId="25" fillId="2" borderId="0" xfId="1" applyFill="1" applyAlignment="1">
      <alignment horizontal="center"/>
    </xf>
    <xf numFmtId="0" fontId="6" fillId="2" borderId="5" xfId="0" applyFont="1" applyFill="1" applyBorder="1" applyAlignment="1">
      <alignment horizontal="center"/>
    </xf>
    <xf numFmtId="0" fontId="6" fillId="2" borderId="5" xfId="0" applyFont="1" applyFill="1" applyBorder="1" applyAlignment="1">
      <alignment horizontal="left" vertical="center" indent="1"/>
    </xf>
    <xf numFmtId="170" fontId="24" fillId="7" borderId="5" xfId="0" applyNumberFormat="1" applyFont="1" applyFill="1" applyBorder="1" applyAlignment="1">
      <alignment horizontal="right" vertical="center" indent="2"/>
    </xf>
    <xf numFmtId="0" fontId="6" fillId="2" borderId="5" xfId="0" applyFont="1" applyFill="1" applyBorder="1" applyAlignment="1">
      <alignment vertical="center"/>
    </xf>
    <xf numFmtId="171" fontId="24" fillId="7" borderId="5" xfId="0" applyNumberFormat="1" applyFont="1" applyFill="1" applyBorder="1" applyAlignment="1">
      <alignment horizontal="right" vertical="center" indent="2"/>
    </xf>
    <xf numFmtId="0" fontId="25" fillId="2" borderId="0" xfId="1" applyFill="1" applyAlignment="1">
      <alignment horizontal="center" vertical="center"/>
    </xf>
    <xf numFmtId="0" fontId="6" fillId="11" borderId="5" xfId="0" applyFont="1" applyFill="1" applyBorder="1" applyAlignment="1">
      <alignment horizontal="center" vertical="center"/>
    </xf>
    <xf numFmtId="172" fontId="24" fillId="7" borderId="5" xfId="0" applyNumberFormat="1" applyFont="1" applyFill="1" applyBorder="1" applyAlignment="1">
      <alignment horizontal="right" vertical="center" indent="2"/>
    </xf>
    <xf numFmtId="0" fontId="6" fillId="10" borderId="5" xfId="0" applyFont="1" applyFill="1" applyBorder="1" applyAlignment="1">
      <alignment horizontal="left" vertical="center" indent="2"/>
    </xf>
    <xf numFmtId="0" fontId="26" fillId="8" borderId="0" xfId="0" applyFont="1" applyFill="1" applyAlignment="1">
      <alignment horizontal="center" vertical="center" wrapText="1"/>
    </xf>
    <xf numFmtId="0" fontId="6" fillId="2" borderId="38" xfId="0" applyFont="1" applyFill="1" applyBorder="1" applyAlignment="1">
      <alignment vertical="center"/>
    </xf>
    <xf numFmtId="0" fontId="6" fillId="2" borderId="5" xfId="0" applyFont="1" applyFill="1" applyBorder="1"/>
    <xf numFmtId="0" fontId="6" fillId="8" borderId="5" xfId="0" applyFont="1" applyFill="1" applyBorder="1" applyAlignment="1">
      <alignment horizontal="center" vertical="center"/>
    </xf>
    <xf numFmtId="0" fontId="6" fillId="9" borderId="5" xfId="0" applyFont="1" applyFill="1" applyBorder="1" applyAlignment="1">
      <alignment horizontal="center" vertical="center"/>
    </xf>
    <xf numFmtId="167" fontId="24" fillId="7" borderId="5" xfId="0" applyNumberFormat="1" applyFont="1" applyFill="1" applyBorder="1" applyAlignment="1">
      <alignment horizontal="right" vertical="center" indent="2"/>
    </xf>
    <xf numFmtId="168" fontId="24" fillId="7" borderId="5" xfId="0" applyNumberFormat="1" applyFont="1" applyFill="1" applyBorder="1" applyAlignment="1">
      <alignment horizontal="right" vertical="center" indent="2"/>
    </xf>
    <xf numFmtId="169" fontId="24" fillId="7" borderId="5" xfId="0" applyNumberFormat="1" applyFont="1" applyFill="1" applyBorder="1" applyAlignment="1">
      <alignment horizontal="right" vertical="center" indent="2"/>
    </xf>
    <xf numFmtId="0" fontId="6" fillId="2" borderId="5" xfId="0" applyFont="1" applyFill="1" applyBorder="1" applyAlignment="1">
      <alignment horizontal="left" indent="2"/>
    </xf>
    <xf numFmtId="0" fontId="6" fillId="8" borderId="5" xfId="0" applyFont="1" applyFill="1" applyBorder="1" applyAlignment="1">
      <alignment horizontal="center" vertical="center" wrapText="1"/>
    </xf>
    <xf numFmtId="0" fontId="6" fillId="8" borderId="5" xfId="0" applyFont="1" applyFill="1" applyBorder="1" applyAlignment="1">
      <alignment vertical="center"/>
    </xf>
    <xf numFmtId="0" fontId="6" fillId="2" borderId="5" xfId="0" applyFont="1" applyFill="1" applyBorder="1" applyAlignment="1">
      <alignment horizontal="center" vertical="center" textRotation="90"/>
    </xf>
    <xf numFmtId="0" fontId="15" fillId="0" borderId="0" xfId="0" applyFont="1" applyAlignment="1">
      <alignment horizontal="left" vertical="center" wrapText="1"/>
    </xf>
    <xf numFmtId="0" fontId="27" fillId="2" borderId="0" xfId="1" applyFont="1" applyFill="1" applyAlignment="1">
      <alignment horizontal="right" vertical="center"/>
    </xf>
    <xf numFmtId="0" fontId="6" fillId="2" borderId="5" xfId="0" applyFont="1" applyFill="1" applyBorder="1" applyAlignment="1">
      <alignment horizontal="left" vertical="center"/>
    </xf>
    <xf numFmtId="0" fontId="31" fillId="2" borderId="0" xfId="0" applyFont="1" applyFill="1"/>
    <xf numFmtId="0" fontId="27" fillId="2" borderId="0" xfId="1" applyFont="1" applyFill="1" applyAlignment="1">
      <alignment horizontal="center" vertical="center"/>
    </xf>
    <xf numFmtId="2" fontId="6" fillId="2" borderId="0" xfId="0" applyNumberFormat="1" applyFont="1" applyFill="1" applyAlignment="1">
      <alignment horizontal="center" vertical="center"/>
    </xf>
    <xf numFmtId="0" fontId="8" fillId="2" borderId="0" xfId="0" applyFont="1" applyFill="1" applyAlignment="1">
      <alignment vertical="top"/>
    </xf>
    <xf numFmtId="0" fontId="12" fillId="2" borderId="0" xfId="0" applyFont="1" applyFill="1" applyAlignment="1">
      <alignment horizontal="left" vertical="center"/>
    </xf>
    <xf numFmtId="0" fontId="8" fillId="2" borderId="0" xfId="0" applyFont="1" applyFill="1" applyAlignment="1">
      <alignment vertical="top" wrapText="1"/>
    </xf>
    <xf numFmtId="0" fontId="8" fillId="2" borderId="0" xfId="0" applyFont="1" applyFill="1"/>
    <xf numFmtId="0" fontId="6" fillId="0" borderId="0" xfId="3" applyFont="1" applyAlignment="1">
      <alignment horizontal="right" vertical="center"/>
    </xf>
    <xf numFmtId="0" fontId="6" fillId="0" borderId="0" xfId="3" applyFont="1" applyBorder="1" applyAlignment="1">
      <alignment horizontal="right" vertical="center"/>
    </xf>
    <xf numFmtId="0" fontId="6" fillId="2" borderId="0" xfId="3" applyFont="1" applyFill="1" applyAlignment="1">
      <alignment vertical="center"/>
    </xf>
    <xf numFmtId="0" fontId="6" fillId="2" borderId="0" xfId="3" applyFont="1" applyFill="1" applyAlignment="1">
      <alignment horizontal="left" vertical="center"/>
    </xf>
    <xf numFmtId="0" fontId="6" fillId="0" borderId="0" xfId="3" applyFont="1" applyAlignment="1">
      <alignment horizontal="left" vertical="center"/>
    </xf>
    <xf numFmtId="0" fontId="26" fillId="0" borderId="0" xfId="0" applyFont="1" applyAlignment="1">
      <alignment vertical="center" wrapText="1"/>
    </xf>
    <xf numFmtId="0" fontId="40" fillId="0" borderId="0" xfId="0" applyFont="1" applyAlignment="1">
      <alignment vertical="center" wrapText="1"/>
    </xf>
    <xf numFmtId="0" fontId="42" fillId="0" borderId="0" xfId="0" applyFont="1" applyAlignment="1">
      <alignment vertical="center"/>
    </xf>
    <xf numFmtId="0" fontId="40" fillId="0" borderId="40" xfId="0" applyFont="1" applyBorder="1" applyAlignment="1">
      <alignment horizontal="left" vertical="center" wrapText="1"/>
    </xf>
    <xf numFmtId="0" fontId="50" fillId="0" borderId="0" xfId="0" applyFont="1" applyAlignment="1">
      <alignment vertical="center"/>
    </xf>
    <xf numFmtId="0" fontId="55" fillId="2" borderId="0" xfId="0" applyFont="1" applyFill="1" applyAlignment="1">
      <alignment horizontal="left" vertical="center" indent="1"/>
    </xf>
    <xf numFmtId="0" fontId="23" fillId="3" borderId="0" xfId="0" applyFont="1" applyFill="1" applyAlignment="1">
      <alignment horizontal="left" vertical="center" indent="1"/>
    </xf>
    <xf numFmtId="2" fontId="6" fillId="2" borderId="30" xfId="0" applyNumberFormat="1" applyFont="1" applyFill="1" applyBorder="1" applyAlignment="1" applyProtection="1">
      <alignment horizontal="center" vertical="center"/>
    </xf>
    <xf numFmtId="0" fontId="6" fillId="12" borderId="5" xfId="0" applyFont="1" applyFill="1" applyBorder="1" applyAlignment="1">
      <alignment horizontal="center" vertical="center"/>
    </xf>
    <xf numFmtId="174" fontId="24" fillId="7" borderId="5" xfId="0" applyNumberFormat="1" applyFont="1" applyFill="1" applyBorder="1" applyAlignment="1">
      <alignment horizontal="right" vertical="center" indent="2"/>
    </xf>
    <xf numFmtId="0" fontId="6" fillId="7" borderId="5" xfId="0" applyFont="1" applyFill="1" applyBorder="1" applyAlignment="1">
      <alignment horizontal="center" vertical="center"/>
    </xf>
    <xf numFmtId="0" fontId="6" fillId="2" borderId="43" xfId="0" applyFont="1" applyFill="1" applyBorder="1" applyAlignment="1">
      <alignment horizontal="center" vertical="center"/>
    </xf>
    <xf numFmtId="0" fontId="6" fillId="12" borderId="44" xfId="0" applyFont="1" applyFill="1" applyBorder="1" applyAlignment="1">
      <alignment horizontal="center" vertical="center"/>
    </xf>
    <xf numFmtId="0" fontId="6" fillId="7" borderId="45" xfId="0" applyFont="1" applyFill="1" applyBorder="1" applyAlignment="1">
      <alignment horizontal="center" vertical="center" wrapText="1"/>
    </xf>
    <xf numFmtId="0" fontId="6" fillId="7" borderId="46" xfId="0" applyFont="1" applyFill="1" applyBorder="1" applyAlignment="1">
      <alignment horizontal="center" vertical="center" wrapText="1"/>
    </xf>
    <xf numFmtId="0" fontId="6" fillId="2" borderId="46" xfId="0" applyFont="1" applyFill="1" applyBorder="1" applyAlignment="1">
      <alignment horizontal="center" vertical="center"/>
    </xf>
    <xf numFmtId="0" fontId="6" fillId="7" borderId="47" xfId="0" applyFont="1" applyFill="1" applyBorder="1" applyAlignment="1">
      <alignment horizontal="center" vertical="center" wrapText="1"/>
    </xf>
    <xf numFmtId="0" fontId="6" fillId="0" borderId="25" xfId="0" applyFont="1" applyBorder="1" applyAlignment="1">
      <alignment horizontal="left" vertical="center"/>
    </xf>
    <xf numFmtId="0" fontId="6" fillId="0" borderId="19" xfId="0" applyFont="1" applyBorder="1" applyAlignment="1">
      <alignment horizontal="left" vertical="center"/>
    </xf>
    <xf numFmtId="174" fontId="6" fillId="2" borderId="5" xfId="0" applyNumberFormat="1" applyFont="1" applyFill="1" applyBorder="1" applyAlignment="1">
      <alignment horizontal="left" vertical="center" indent="2"/>
    </xf>
    <xf numFmtId="0" fontId="6" fillId="9" borderId="38" xfId="0" applyFont="1" applyFill="1" applyBorder="1" applyAlignment="1">
      <alignment vertical="center"/>
    </xf>
    <xf numFmtId="175" fontId="6" fillId="2" borderId="6" xfId="0" applyNumberFormat="1" applyFont="1" applyFill="1" applyBorder="1" applyAlignment="1" applyProtection="1">
      <alignment horizontal="center" vertical="center"/>
      <protection locked="0"/>
    </xf>
    <xf numFmtId="175" fontId="6" fillId="2" borderId="5" xfId="0" applyNumberFormat="1" applyFont="1" applyFill="1" applyBorder="1" applyAlignment="1" applyProtection="1">
      <alignment horizontal="center" vertical="center"/>
      <protection locked="0"/>
    </xf>
    <xf numFmtId="175" fontId="6" fillId="2" borderId="7" xfId="0" applyNumberFormat="1" applyFont="1" applyFill="1" applyBorder="1" applyAlignment="1" applyProtection="1">
      <alignment horizontal="center" vertical="center"/>
      <protection locked="0"/>
    </xf>
    <xf numFmtId="175" fontId="6" fillId="2" borderId="8" xfId="0" applyNumberFormat="1" applyFont="1" applyFill="1" applyBorder="1" applyAlignment="1" applyProtection="1">
      <alignment horizontal="center" vertical="center"/>
      <protection locked="0"/>
    </xf>
    <xf numFmtId="175" fontId="6" fillId="2" borderId="33" xfId="0" applyNumberFormat="1" applyFont="1" applyFill="1" applyBorder="1" applyAlignment="1" applyProtection="1">
      <alignment horizontal="center" vertical="center"/>
      <protection locked="0"/>
    </xf>
    <xf numFmtId="175" fontId="6" fillId="2" borderId="4" xfId="0" applyNumberFormat="1" applyFont="1" applyFill="1" applyBorder="1" applyAlignment="1" applyProtection="1">
      <alignment horizontal="center" vertical="center"/>
      <protection locked="0"/>
    </xf>
    <xf numFmtId="1" fontId="6" fillId="2" borderId="1" xfId="0" applyNumberFormat="1" applyFont="1" applyFill="1" applyBorder="1" applyAlignment="1" applyProtection="1">
      <alignment horizontal="center" vertical="center"/>
      <protection locked="0"/>
    </xf>
    <xf numFmtId="175" fontId="6" fillId="2" borderId="3" xfId="0" applyNumberFormat="1" applyFont="1" applyFill="1" applyBorder="1" applyAlignment="1" applyProtection="1">
      <alignment horizontal="center" vertical="center"/>
      <protection locked="0"/>
    </xf>
    <xf numFmtId="1" fontId="6" fillId="2" borderId="2" xfId="0" applyNumberFormat="1" applyFont="1" applyFill="1" applyBorder="1" applyAlignment="1" applyProtection="1">
      <alignment horizontal="center" vertical="center"/>
      <protection locked="0"/>
    </xf>
    <xf numFmtId="175" fontId="6" fillId="2" borderId="14" xfId="0" applyNumberFormat="1" applyFont="1" applyFill="1" applyBorder="1" applyAlignment="1" applyProtection="1">
      <alignment horizontal="center" vertical="center"/>
      <protection locked="0"/>
    </xf>
    <xf numFmtId="175" fontId="6" fillId="2" borderId="1" xfId="0" applyNumberFormat="1" applyFont="1" applyFill="1" applyBorder="1" applyAlignment="1" applyProtection="1">
      <alignment horizontal="center" vertical="center"/>
      <protection locked="0"/>
    </xf>
    <xf numFmtId="175" fontId="6" fillId="2" borderId="2" xfId="0" applyNumberFormat="1" applyFont="1" applyFill="1" applyBorder="1" applyAlignment="1" applyProtection="1">
      <alignment horizontal="center" vertical="center"/>
      <protection locked="0"/>
    </xf>
    <xf numFmtId="0" fontId="4" fillId="4" borderId="24" xfId="0" applyFont="1" applyFill="1" applyBorder="1" applyAlignment="1">
      <alignment horizontal="center" vertical="center" wrapText="1"/>
    </xf>
    <xf numFmtId="0" fontId="4" fillId="2" borderId="0" xfId="0" applyFont="1" applyFill="1" applyBorder="1" applyAlignment="1">
      <alignment horizontal="center" vertical="center" wrapText="1"/>
    </xf>
    <xf numFmtId="0" fontId="4" fillId="2" borderId="0" xfId="0" applyFont="1" applyFill="1" applyBorder="1" applyAlignment="1">
      <alignment horizontal="center" vertical="center"/>
    </xf>
    <xf numFmtId="0" fontId="4" fillId="2" borderId="0" xfId="0" applyFont="1" applyFill="1" applyBorder="1" applyAlignment="1" applyProtection="1">
      <alignment horizontal="center" vertical="center" wrapText="1"/>
    </xf>
    <xf numFmtId="175" fontId="6" fillId="2" borderId="44" xfId="0" applyNumberFormat="1" applyFont="1" applyFill="1" applyBorder="1" applyAlignment="1" applyProtection="1">
      <alignment horizontal="center" vertical="center"/>
      <protection locked="0"/>
    </xf>
    <xf numFmtId="1" fontId="6" fillId="2" borderId="44" xfId="0" applyNumberFormat="1" applyFont="1" applyFill="1" applyBorder="1" applyAlignment="1" applyProtection="1">
      <alignment horizontal="center" vertical="center"/>
      <protection locked="0"/>
    </xf>
    <xf numFmtId="1" fontId="6" fillId="2" borderId="54" xfId="0" applyNumberFormat="1" applyFont="1" applyFill="1" applyBorder="1" applyAlignment="1" applyProtection="1">
      <alignment horizontal="center" vertical="center"/>
      <protection locked="0"/>
    </xf>
    <xf numFmtId="0" fontId="4" fillId="5" borderId="50" xfId="0" applyFont="1" applyFill="1" applyBorder="1" applyAlignment="1">
      <alignment horizontal="center" vertical="center"/>
    </xf>
    <xf numFmtId="0" fontId="4" fillId="5" borderId="51" xfId="0" applyFont="1" applyFill="1" applyBorder="1" applyAlignment="1">
      <alignment horizontal="center" vertical="center"/>
    </xf>
    <xf numFmtId="0" fontId="4" fillId="5" borderId="52" xfId="0" applyFont="1" applyFill="1" applyBorder="1" applyAlignment="1">
      <alignment horizontal="center" vertical="center"/>
    </xf>
    <xf numFmtId="175" fontId="6" fillId="2" borderId="15" xfId="0" applyNumberFormat="1" applyFont="1" applyFill="1" applyBorder="1" applyAlignment="1" applyProtection="1">
      <alignment horizontal="center" vertical="center"/>
      <protection locked="0"/>
    </xf>
    <xf numFmtId="175" fontId="6" fillId="2" borderId="16" xfId="0" applyNumberFormat="1" applyFont="1" applyFill="1" applyBorder="1" applyAlignment="1" applyProtection="1">
      <alignment horizontal="center" vertical="center"/>
      <protection locked="0"/>
    </xf>
    <xf numFmtId="0" fontId="26" fillId="0" borderId="0" xfId="0" applyFont="1" applyAlignment="1">
      <alignment vertical="center" wrapText="1"/>
    </xf>
    <xf numFmtId="0" fontId="6" fillId="2" borderId="49" xfId="0" applyFont="1" applyFill="1" applyBorder="1" applyAlignment="1">
      <alignment horizontal="left" vertical="center"/>
    </xf>
    <xf numFmtId="0" fontId="6" fillId="8" borderId="44" xfId="0" applyFont="1" applyFill="1" applyBorder="1" applyAlignment="1">
      <alignment horizontal="center" vertical="center"/>
    </xf>
    <xf numFmtId="0" fontId="6" fillId="8" borderId="55" xfId="0" applyFont="1" applyFill="1" applyBorder="1" applyAlignment="1">
      <alignment horizontal="center" vertical="center"/>
    </xf>
    <xf numFmtId="0" fontId="6" fillId="8" borderId="18" xfId="0" applyFont="1" applyFill="1" applyBorder="1" applyAlignment="1">
      <alignment horizontal="center" vertical="center"/>
    </xf>
    <xf numFmtId="0" fontId="56" fillId="2" borderId="0" xfId="0" applyFont="1" applyFill="1" applyAlignment="1">
      <alignment horizontal="left" vertical="center" indent="1"/>
    </xf>
    <xf numFmtId="0" fontId="26" fillId="0" borderId="0" xfId="0" applyFont="1" applyAlignment="1"/>
    <xf numFmtId="0" fontId="42" fillId="0" borderId="0" xfId="0" applyFont="1" applyAlignment="1">
      <alignment horizontal="left" wrapText="1" indent="3"/>
    </xf>
    <xf numFmtId="0" fontId="42" fillId="0" borderId="0" xfId="0" applyFont="1" applyAlignment="1">
      <alignment horizontal="left" vertical="center" wrapText="1" indent="3"/>
    </xf>
    <xf numFmtId="0" fontId="26" fillId="0" borderId="0" xfId="0" applyFont="1" applyAlignment="1">
      <alignment horizontal="left" vertical="center" wrapText="1" indent="3"/>
    </xf>
    <xf numFmtId="0" fontId="26" fillId="0" borderId="25" xfId="0" applyFont="1" applyBorder="1" applyAlignment="1">
      <alignment horizontal="left" vertical="center" wrapText="1" indent="3"/>
    </xf>
    <xf numFmtId="0" fontId="6" fillId="9" borderId="5" xfId="0" applyFont="1" applyFill="1" applyBorder="1" applyAlignment="1">
      <alignment horizontal="left" vertical="center" indent="2"/>
    </xf>
    <xf numFmtId="0" fontId="23" fillId="2" borderId="0" xfId="0" applyFont="1" applyFill="1" applyAlignment="1">
      <alignment horizontal="left" vertical="center" indent="1"/>
    </xf>
    <xf numFmtId="0" fontId="12" fillId="0" borderId="0" xfId="0" applyFont="1" applyAlignment="1">
      <alignment horizontal="center" vertical="center" wrapText="1"/>
    </xf>
    <xf numFmtId="0" fontId="58" fillId="0" borderId="0" xfId="0" applyFont="1" applyAlignment="1">
      <alignment horizontal="center" vertical="top" wrapText="1"/>
    </xf>
    <xf numFmtId="2" fontId="55" fillId="0" borderId="0" xfId="0" applyNumberFormat="1" applyFont="1" applyBorder="1" applyAlignment="1">
      <alignment horizontal="center" vertical="center"/>
    </xf>
    <xf numFmtId="0" fontId="58" fillId="0" borderId="0" xfId="2" applyFont="1" applyAlignment="1">
      <alignment horizontal="center" vertical="top" wrapText="1"/>
    </xf>
    <xf numFmtId="0" fontId="56" fillId="2" borderId="0" xfId="0" applyFont="1" applyFill="1" applyAlignment="1">
      <alignment vertical="center"/>
    </xf>
    <xf numFmtId="0" fontId="6" fillId="2" borderId="0" xfId="0" applyNumberFormat="1" applyFont="1" applyFill="1" applyAlignment="1">
      <alignment horizontal="left" vertical="center" indent="4"/>
    </xf>
    <xf numFmtId="175" fontId="6" fillId="2" borderId="18" xfId="0" applyNumberFormat="1" applyFont="1" applyFill="1" applyBorder="1" applyAlignment="1" applyProtection="1">
      <alignment horizontal="center" vertical="center"/>
      <protection locked="0"/>
    </xf>
    <xf numFmtId="0" fontId="6" fillId="0" borderId="0" xfId="0" applyNumberFormat="1" applyFont="1" applyFill="1" applyBorder="1" applyAlignment="1" applyProtection="1">
      <alignment horizontal="center" vertical="center"/>
    </xf>
    <xf numFmtId="0" fontId="26" fillId="5" borderId="50" xfId="0" applyFont="1" applyFill="1" applyBorder="1" applyAlignment="1">
      <alignment horizontal="center" vertical="center" wrapText="1"/>
    </xf>
    <xf numFmtId="0" fontId="6" fillId="2" borderId="0" xfId="0" applyFont="1" applyFill="1" applyAlignment="1">
      <alignment horizontal="center" vertical="center"/>
    </xf>
    <xf numFmtId="0" fontId="58" fillId="2" borderId="0" xfId="0" applyFont="1" applyFill="1" applyAlignment="1">
      <alignment horizontal="left" vertical="center" wrapText="1"/>
    </xf>
    <xf numFmtId="175" fontId="55" fillId="2" borderId="53" xfId="0" applyNumberFormat="1" applyFont="1" applyFill="1" applyBorder="1" applyAlignment="1" applyProtection="1">
      <alignment horizontal="center" vertical="center"/>
      <protection locked="0"/>
    </xf>
    <xf numFmtId="0" fontId="25" fillId="0" borderId="26" xfId="1" applyBorder="1" applyAlignment="1">
      <alignment vertical="center" wrapText="1"/>
    </xf>
    <xf numFmtId="0" fontId="4" fillId="0" borderId="0" xfId="0" applyFont="1" applyAlignment="1">
      <alignment horizontal="right" vertical="center"/>
    </xf>
    <xf numFmtId="0" fontId="29" fillId="2" borderId="0" xfId="0" applyFont="1" applyFill="1" applyAlignment="1">
      <alignment horizontal="left"/>
    </xf>
    <xf numFmtId="0" fontId="51" fillId="0" borderId="0" xfId="0" applyFont="1"/>
    <xf numFmtId="0" fontId="51" fillId="2" borderId="0" xfId="0" applyFont="1" applyFill="1" applyAlignment="1"/>
    <xf numFmtId="0" fontId="51" fillId="0" borderId="0" xfId="0" applyFont="1" applyAlignment="1"/>
    <xf numFmtId="0" fontId="51" fillId="14" borderId="0" xfId="0" applyFont="1" applyFill="1" applyAlignment="1">
      <alignment wrapText="1"/>
    </xf>
    <xf numFmtId="0" fontId="0" fillId="0" borderId="0" xfId="0" applyAlignment="1">
      <alignment wrapText="1"/>
    </xf>
    <xf numFmtId="0" fontId="51" fillId="14" borderId="0" xfId="0" applyFont="1" applyFill="1" applyAlignment="1">
      <alignment vertical="top" wrapText="1"/>
    </xf>
    <xf numFmtId="0" fontId="0" fillId="0" borderId="0" xfId="0" applyAlignment="1">
      <alignment vertical="top" wrapText="1"/>
    </xf>
    <xf numFmtId="0" fontId="4" fillId="13" borderId="17" xfId="0" applyFont="1" applyFill="1" applyBorder="1" applyAlignment="1">
      <alignment horizontal="center" vertical="center" wrapText="1"/>
    </xf>
    <xf numFmtId="175" fontId="6" fillId="15" borderId="14" xfId="0" applyNumberFormat="1" applyFont="1" applyFill="1" applyBorder="1" applyAlignment="1" applyProtection="1">
      <alignment horizontal="center" vertical="center"/>
    </xf>
    <xf numFmtId="175" fontId="6" fillId="15" borderId="15" xfId="0" applyNumberFormat="1" applyFont="1" applyFill="1" applyBorder="1" applyAlignment="1" applyProtection="1">
      <alignment horizontal="center" vertical="center"/>
    </xf>
    <xf numFmtId="176" fontId="6" fillId="15" borderId="18" xfId="0" applyNumberFormat="1" applyFont="1" applyFill="1" applyBorder="1" applyAlignment="1" applyProtection="1">
      <alignment horizontal="center" vertical="center"/>
    </xf>
    <xf numFmtId="175" fontId="6" fillId="15" borderId="18" xfId="0" applyNumberFormat="1" applyFont="1" applyFill="1" applyBorder="1" applyAlignment="1" applyProtection="1">
      <alignment horizontal="center" vertical="center"/>
    </xf>
    <xf numFmtId="175" fontId="6" fillId="15" borderId="36" xfId="0" applyNumberFormat="1" applyFont="1" applyFill="1" applyBorder="1" applyAlignment="1" applyProtection="1">
      <alignment horizontal="center" vertical="center"/>
    </xf>
    <xf numFmtId="175" fontId="6" fillId="15" borderId="37" xfId="0" applyNumberFormat="1" applyFont="1" applyFill="1" applyBorder="1" applyAlignment="1" applyProtection="1">
      <alignment horizontal="center" vertical="center"/>
    </xf>
    <xf numFmtId="175" fontId="6" fillId="15" borderId="20" xfId="0" applyNumberFormat="1" applyFont="1" applyFill="1" applyBorder="1" applyAlignment="1" applyProtection="1">
      <alignment horizontal="center" vertical="center"/>
    </xf>
    <xf numFmtId="0" fontId="55" fillId="2" borderId="0" xfId="0" applyFont="1" applyFill="1" applyAlignment="1">
      <alignment wrapText="1"/>
    </xf>
    <xf numFmtId="0" fontId="55" fillId="0" borderId="0" xfId="0" applyFont="1" applyFill="1" applyAlignment="1">
      <alignment horizontal="left" vertical="center" wrapText="1"/>
    </xf>
    <xf numFmtId="0" fontId="4" fillId="5" borderId="50" xfId="0" applyFont="1" applyFill="1" applyBorder="1" applyAlignment="1">
      <alignment horizontal="center" vertical="center" wrapText="1"/>
    </xf>
    <xf numFmtId="0" fontId="58" fillId="0" borderId="0" xfId="0" applyFont="1" applyFill="1" applyAlignment="1">
      <alignment horizontal="left" vertical="center" wrapText="1"/>
    </xf>
    <xf numFmtId="0" fontId="6" fillId="0" borderId="0" xfId="3" applyFont="1" applyFill="1" applyAlignment="1">
      <alignment horizontal="left" vertical="center"/>
    </xf>
    <xf numFmtId="1" fontId="6" fillId="0" borderId="7" xfId="0" applyNumberFormat="1" applyFont="1" applyFill="1" applyBorder="1" applyAlignment="1" applyProtection="1">
      <alignment horizontal="center" vertical="center"/>
      <protection locked="0"/>
    </xf>
    <xf numFmtId="1" fontId="6" fillId="0" borderId="8" xfId="0" applyNumberFormat="1" applyFont="1" applyFill="1" applyBorder="1" applyAlignment="1" applyProtection="1">
      <alignment horizontal="center" vertical="center"/>
      <protection locked="0"/>
    </xf>
    <xf numFmtId="14" fontId="8" fillId="0" borderId="0" xfId="0" applyNumberFormat="1" applyFont="1" applyFill="1" applyAlignment="1">
      <alignment horizontal="left"/>
    </xf>
    <xf numFmtId="0" fontId="6" fillId="2" borderId="0" xfId="0" applyFont="1" applyFill="1" applyAlignment="1">
      <alignment horizontal="center" vertical="center" wrapText="1"/>
    </xf>
    <xf numFmtId="0" fontId="8" fillId="0" borderId="0" xfId="0" applyFont="1" applyAlignment="1">
      <alignment horizontal="left"/>
    </xf>
    <xf numFmtId="0" fontId="4" fillId="2" borderId="0" xfId="0" applyFont="1" applyFill="1" applyAlignment="1">
      <alignment horizontal="left"/>
    </xf>
    <xf numFmtId="0" fontId="5" fillId="2" borderId="0" xfId="0" applyFont="1" applyFill="1" applyAlignment="1">
      <alignment horizontal="left" vertical="center"/>
    </xf>
    <xf numFmtId="0" fontId="6" fillId="2" borderId="0" xfId="0" applyFont="1" applyFill="1" applyAlignment="1">
      <alignment horizontal="left" vertical="center"/>
    </xf>
    <xf numFmtId="0" fontId="6" fillId="0" borderId="0" xfId="0" applyFont="1" applyAlignment="1">
      <alignment horizontal="left" vertical="center"/>
    </xf>
    <xf numFmtId="0" fontId="5" fillId="2" borderId="0" xfId="0" applyFont="1" applyFill="1" applyAlignment="1">
      <alignment horizontal="left" vertical="center" wrapText="1"/>
    </xf>
    <xf numFmtId="0" fontId="6" fillId="2" borderId="0" xfId="0" applyFont="1" applyFill="1" applyAlignment="1">
      <alignment horizontal="left" vertical="center" wrapText="1"/>
    </xf>
    <xf numFmtId="0" fontId="6" fillId="0" borderId="0" xfId="0" applyFont="1" applyAlignment="1">
      <alignment horizontal="left"/>
    </xf>
    <xf numFmtId="0" fontId="4" fillId="2" borderId="0" xfId="0" applyFont="1" applyFill="1" applyAlignment="1">
      <alignment horizontal="right" vertical="center"/>
    </xf>
    <xf numFmtId="0" fontId="40" fillId="0" borderId="0" xfId="0" applyFont="1" applyAlignment="1">
      <alignment horizontal="left" vertical="center" wrapText="1"/>
    </xf>
    <xf numFmtId="0" fontId="26" fillId="0" borderId="0" xfId="0" applyFont="1" applyAlignment="1">
      <alignment horizontal="left" vertical="center" wrapText="1"/>
    </xf>
    <xf numFmtId="0" fontId="42" fillId="0" borderId="0" xfId="0" applyFont="1" applyAlignment="1">
      <alignment horizontal="left" vertical="center" wrapText="1"/>
    </xf>
    <xf numFmtId="0" fontId="26" fillId="0" borderId="0" xfId="0" applyFont="1" applyAlignment="1">
      <alignment vertical="center" wrapText="1"/>
    </xf>
    <xf numFmtId="0" fontId="26" fillId="0" borderId="0" xfId="0" applyFont="1" applyAlignment="1">
      <alignment vertical="center" wrapText="1"/>
    </xf>
    <xf numFmtId="0" fontId="40" fillId="0" borderId="0" xfId="0" applyFont="1" applyBorder="1" applyAlignment="1">
      <alignment horizontal="left" vertical="center" wrapText="1"/>
    </xf>
    <xf numFmtId="0" fontId="62" fillId="0" borderId="56" xfId="0" applyFont="1" applyBorder="1" applyAlignment="1">
      <alignment horizontal="left" vertical="center" wrapText="1" indent="3"/>
    </xf>
    <xf numFmtId="0" fontId="26" fillId="0" borderId="57" xfId="0" applyFont="1" applyBorder="1" applyAlignment="1">
      <alignment vertical="center" wrapText="1"/>
    </xf>
    <xf numFmtId="0" fontId="26" fillId="0" borderId="0" xfId="0" applyFont="1" applyBorder="1" applyAlignment="1">
      <alignment horizontal="left" vertical="center" wrapText="1"/>
    </xf>
    <xf numFmtId="0" fontId="42" fillId="0" borderId="0" xfId="0" applyFont="1" applyAlignment="1">
      <alignment horizontal="left" vertical="center" wrapText="1"/>
    </xf>
    <xf numFmtId="0" fontId="6" fillId="0" borderId="0" xfId="0" applyFont="1" applyAlignment="1">
      <alignment horizontal="center" vertical="center"/>
    </xf>
    <xf numFmtId="2" fontId="6" fillId="2" borderId="0" xfId="0" applyNumberFormat="1" applyFont="1" applyFill="1" applyBorder="1" applyAlignment="1" applyProtection="1">
      <alignment horizontal="center" vertical="center"/>
    </xf>
    <xf numFmtId="2" fontId="4" fillId="0" borderId="0" xfId="0" applyNumberFormat="1" applyFont="1" applyFill="1" applyBorder="1" applyAlignment="1">
      <alignment horizontal="center" vertical="center"/>
    </xf>
    <xf numFmtId="0" fontId="6" fillId="0" borderId="5" xfId="0" applyFont="1" applyFill="1" applyBorder="1" applyAlignment="1">
      <alignment horizontal="left" vertical="center"/>
    </xf>
    <xf numFmtId="0" fontId="26" fillId="0" borderId="0" xfId="0" applyFont="1" applyAlignment="1">
      <alignment vertical="center" wrapText="1"/>
    </xf>
    <xf numFmtId="0" fontId="23" fillId="0" borderId="9" xfId="0" applyFont="1" applyFill="1" applyBorder="1" applyAlignment="1">
      <alignment horizontal="left" vertical="center" wrapText="1"/>
    </xf>
    <xf numFmtId="0" fontId="23" fillId="0" borderId="0" xfId="0" applyFont="1" applyFill="1" applyAlignment="1">
      <alignment horizontal="left" vertical="center" wrapText="1"/>
    </xf>
    <xf numFmtId="0" fontId="61" fillId="0" borderId="0" xfId="0" applyFont="1" applyFill="1" applyBorder="1" applyAlignment="1">
      <alignment horizontal="center" vertical="center" wrapText="1"/>
    </xf>
    <xf numFmtId="0" fontId="55" fillId="0" borderId="9" xfId="0" applyFont="1" applyBorder="1" applyAlignment="1">
      <alignment horizontal="left" vertical="center" wrapText="1" indent="1"/>
    </xf>
    <xf numFmtId="0" fontId="23" fillId="0" borderId="0" xfId="0" applyFont="1" applyAlignment="1">
      <alignment horizontal="left" vertical="center" wrapText="1" indent="1"/>
    </xf>
    <xf numFmtId="0" fontId="6" fillId="0" borderId="0" xfId="0" applyFont="1" applyFill="1" applyAlignment="1">
      <alignment wrapText="1"/>
    </xf>
    <xf numFmtId="0" fontId="6" fillId="2" borderId="0" xfId="0" applyFont="1" applyFill="1" applyAlignment="1">
      <alignment horizontal="left"/>
    </xf>
    <xf numFmtId="0" fontId="37" fillId="2" borderId="0" xfId="0" applyFont="1" applyFill="1" applyAlignment="1">
      <alignment horizontal="right" vertical="center"/>
    </xf>
    <xf numFmtId="0" fontId="4" fillId="2" borderId="0" xfId="0" applyFont="1" applyFill="1" applyAlignment="1">
      <alignment horizontal="right" vertical="center" indent="1"/>
    </xf>
    <xf numFmtId="0" fontId="4" fillId="2" borderId="21" xfId="0" applyFont="1" applyFill="1" applyBorder="1" applyAlignment="1">
      <alignment horizontal="right" vertical="center" indent="1"/>
    </xf>
    <xf numFmtId="0" fontId="6" fillId="0" borderId="33" xfId="0" applyFont="1" applyBorder="1" applyAlignment="1">
      <alignment horizontal="left" vertical="center" wrapText="1"/>
    </xf>
    <xf numFmtId="0" fontId="6" fillId="0" borderId="4" xfId="0" applyFont="1" applyBorder="1" applyAlignment="1">
      <alignment horizontal="left" vertical="center" wrapText="1"/>
    </xf>
    <xf numFmtId="0" fontId="6" fillId="0" borderId="48" xfId="0" applyFont="1" applyBorder="1" applyAlignment="1">
      <alignment horizontal="left" vertical="center" wrapText="1"/>
    </xf>
    <xf numFmtId="0" fontId="6" fillId="0" borderId="0" xfId="0" applyFont="1" applyAlignment="1">
      <alignment horizontal="left"/>
    </xf>
    <xf numFmtId="0" fontId="6" fillId="0" borderId="0" xfId="0" applyFont="1" applyBorder="1" applyAlignment="1">
      <alignment horizontal="left"/>
    </xf>
    <xf numFmtId="0" fontId="4" fillId="0" borderId="0" xfId="0" applyFont="1" applyAlignment="1">
      <alignment horizontal="right"/>
    </xf>
    <xf numFmtId="0" fontId="4" fillId="0" borderId="21" xfId="0" applyFont="1" applyBorder="1" applyAlignment="1">
      <alignment horizontal="right"/>
    </xf>
    <xf numFmtId="0" fontId="4" fillId="2" borderId="22" xfId="0" applyFont="1" applyFill="1" applyBorder="1" applyAlignment="1">
      <alignment horizontal="center" vertical="center"/>
    </xf>
    <xf numFmtId="0" fontId="4" fillId="2" borderId="23" xfId="0" applyFont="1" applyFill="1" applyBorder="1" applyAlignment="1">
      <alignment horizontal="center" vertical="center"/>
    </xf>
    <xf numFmtId="0" fontId="4" fillId="2" borderId="24" xfId="0" applyFont="1" applyFill="1" applyBorder="1" applyAlignment="1">
      <alignment horizontal="center" vertical="center"/>
    </xf>
    <xf numFmtId="0" fontId="4" fillId="5" borderId="34" xfId="0" applyFont="1" applyFill="1" applyBorder="1" applyAlignment="1">
      <alignment horizontal="center" vertical="center"/>
    </xf>
    <xf numFmtId="0" fontId="4" fillId="5" borderId="35" xfId="0" applyFont="1" applyFill="1" applyBorder="1" applyAlignment="1">
      <alignment horizontal="center" vertical="center"/>
    </xf>
    <xf numFmtId="0" fontId="4" fillId="5" borderId="10" xfId="0" applyFont="1" applyFill="1" applyBorder="1" applyAlignment="1">
      <alignment horizontal="center" vertical="center"/>
    </xf>
    <xf numFmtId="0" fontId="6" fillId="0" borderId="3" xfId="0" applyFont="1" applyBorder="1" applyAlignment="1">
      <alignment horizontal="left" vertical="center"/>
    </xf>
    <xf numFmtId="0" fontId="6" fillId="0" borderId="5" xfId="0" applyFont="1" applyBorder="1" applyAlignment="1">
      <alignment horizontal="left" vertical="center"/>
    </xf>
    <xf numFmtId="0" fontId="6" fillId="0" borderId="49" xfId="0" applyFont="1" applyBorder="1" applyAlignment="1">
      <alignment horizontal="left" vertical="center"/>
    </xf>
    <xf numFmtId="0" fontId="4" fillId="2" borderId="0" xfId="0" applyFont="1" applyFill="1" applyAlignment="1">
      <alignment horizontal="right" vertical="center"/>
    </xf>
    <xf numFmtId="0" fontId="4" fillId="2" borderId="21" xfId="0" applyFont="1" applyFill="1" applyBorder="1" applyAlignment="1">
      <alignment horizontal="right" vertical="center"/>
    </xf>
    <xf numFmtId="0" fontId="4" fillId="2" borderId="0" xfId="0" applyFont="1" applyFill="1" applyAlignment="1">
      <alignment horizontal="right" vertical="center" wrapText="1"/>
    </xf>
    <xf numFmtId="0" fontId="6" fillId="2" borderId="0" xfId="0" applyFont="1" applyFill="1" applyAlignment="1">
      <alignment horizontal="left" vertical="center" wrapText="1"/>
    </xf>
    <xf numFmtId="0" fontId="23" fillId="0" borderId="9" xfId="0" applyFont="1" applyBorder="1" applyAlignment="1">
      <alignment horizontal="left" vertical="center" wrapText="1"/>
    </xf>
    <xf numFmtId="0" fontId="23" fillId="0" borderId="0" xfId="0" applyFont="1" applyBorder="1" applyAlignment="1">
      <alignment horizontal="left" vertical="center" wrapText="1"/>
    </xf>
    <xf numFmtId="0" fontId="23" fillId="0" borderId="0" xfId="0" applyFont="1" applyFill="1" applyBorder="1" applyAlignment="1">
      <alignment horizontal="left" vertical="center" wrapText="1"/>
    </xf>
    <xf numFmtId="0" fontId="30" fillId="2" borderId="0" xfId="0" applyFont="1" applyFill="1" applyBorder="1" applyAlignment="1" applyProtection="1">
      <alignment horizontal="center" vertical="center"/>
    </xf>
    <xf numFmtId="0" fontId="4" fillId="2" borderId="0" xfId="0" applyFont="1" applyFill="1" applyBorder="1" applyAlignment="1" applyProtection="1">
      <alignment horizontal="center" vertical="center"/>
    </xf>
    <xf numFmtId="0" fontId="6" fillId="2" borderId="3" xfId="0" applyFont="1" applyFill="1" applyBorder="1" applyAlignment="1" applyProtection="1">
      <alignment horizontal="left"/>
      <protection locked="0"/>
    </xf>
    <xf numFmtId="0" fontId="6" fillId="2" borderId="5" xfId="0" applyFont="1" applyFill="1" applyBorder="1" applyAlignment="1" applyProtection="1">
      <alignment horizontal="left"/>
      <protection locked="0"/>
    </xf>
    <xf numFmtId="0" fontId="6" fillId="2" borderId="2" xfId="0" applyFont="1" applyFill="1" applyBorder="1" applyAlignment="1" applyProtection="1">
      <alignment horizontal="left"/>
      <protection locked="0"/>
    </xf>
    <xf numFmtId="0" fontId="5" fillId="2" borderId="0" xfId="0" applyFont="1" applyFill="1" applyAlignment="1">
      <alignment horizontal="left" vertical="center"/>
    </xf>
    <xf numFmtId="0" fontId="6" fillId="2" borderId="29" xfId="0" applyFont="1" applyFill="1" applyBorder="1" applyAlignment="1" applyProtection="1">
      <alignment horizontal="left"/>
      <protection locked="0"/>
    </xf>
    <xf numFmtId="0" fontId="6" fillId="2" borderId="30" xfId="0" applyFont="1" applyFill="1" applyBorder="1" applyAlignment="1" applyProtection="1">
      <alignment horizontal="left"/>
      <protection locked="0"/>
    </xf>
    <xf numFmtId="0" fontId="6" fillId="2" borderId="33" xfId="0" applyFont="1" applyFill="1" applyBorder="1" applyAlignment="1" applyProtection="1">
      <alignment horizontal="left"/>
      <protection locked="0"/>
    </xf>
    <xf numFmtId="0" fontId="6" fillId="2" borderId="4" xfId="0" applyFont="1" applyFill="1" applyBorder="1" applyAlignment="1" applyProtection="1">
      <alignment horizontal="left"/>
      <protection locked="0"/>
    </xf>
    <xf numFmtId="0" fontId="6" fillId="2" borderId="1" xfId="0" applyFont="1" applyFill="1" applyBorder="1" applyAlignment="1" applyProtection="1">
      <alignment horizontal="left"/>
      <protection locked="0"/>
    </xf>
    <xf numFmtId="0" fontId="6" fillId="2" borderId="29" xfId="0" quotePrefix="1" applyFont="1" applyFill="1" applyBorder="1" applyAlignment="1" applyProtection="1">
      <alignment horizontal="left"/>
      <protection locked="0"/>
    </xf>
    <xf numFmtId="0" fontId="24" fillId="2" borderId="33" xfId="0" applyFont="1" applyFill="1" applyBorder="1" applyAlignment="1" applyProtection="1">
      <alignment horizontal="left" vertical="top" wrapText="1"/>
      <protection locked="0"/>
    </xf>
    <xf numFmtId="0" fontId="6" fillId="2" borderId="4" xfId="0" applyFont="1" applyFill="1" applyBorder="1" applyAlignment="1" applyProtection="1">
      <alignment horizontal="left" vertical="top"/>
      <protection locked="0"/>
    </xf>
    <xf numFmtId="0" fontId="6" fillId="2" borderId="1" xfId="0" applyFont="1" applyFill="1" applyBorder="1" applyAlignment="1" applyProtection="1">
      <alignment horizontal="left" vertical="top"/>
      <protection locked="0"/>
    </xf>
    <xf numFmtId="0" fontId="6" fillId="2" borderId="3" xfId="0" applyFont="1" applyFill="1" applyBorder="1" applyAlignment="1" applyProtection="1">
      <alignment horizontal="left" vertical="top"/>
      <protection locked="0"/>
    </xf>
    <xf numFmtId="0" fontId="6" fillId="2" borderId="5" xfId="0" applyFont="1" applyFill="1" applyBorder="1" applyAlignment="1" applyProtection="1">
      <alignment horizontal="left" vertical="top"/>
      <protection locked="0"/>
    </xf>
    <xf numFmtId="0" fontId="6" fillId="2" borderId="2" xfId="0" applyFont="1" applyFill="1" applyBorder="1" applyAlignment="1" applyProtection="1">
      <alignment horizontal="left" vertical="top"/>
      <protection locked="0"/>
    </xf>
    <xf numFmtId="0" fontId="6" fillId="2" borderId="36" xfId="0" applyFont="1" applyFill="1" applyBorder="1" applyAlignment="1" applyProtection="1">
      <alignment horizontal="left" vertical="top"/>
      <protection locked="0"/>
    </xf>
    <xf numFmtId="0" fontId="6" fillId="2" borderId="37" xfId="0" applyFont="1" applyFill="1" applyBorder="1" applyAlignment="1" applyProtection="1">
      <alignment horizontal="left" vertical="top"/>
      <protection locked="0"/>
    </xf>
    <xf numFmtId="0" fontId="6" fillId="2" borderId="20" xfId="0" applyFont="1" applyFill="1" applyBorder="1" applyAlignment="1" applyProtection="1">
      <alignment horizontal="left" vertical="top"/>
      <protection locked="0"/>
    </xf>
    <xf numFmtId="0" fontId="8" fillId="2" borderId="0" xfId="0" applyFont="1" applyFill="1" applyAlignment="1">
      <alignment horizontal="left" vertical="top" wrapText="1"/>
    </xf>
    <xf numFmtId="0" fontId="6" fillId="0" borderId="0" xfId="0" applyFont="1" applyAlignment="1">
      <alignment horizontal="left" vertical="center"/>
    </xf>
    <xf numFmtId="0" fontId="5" fillId="2" borderId="0" xfId="0" applyFont="1" applyFill="1" applyAlignment="1">
      <alignment horizontal="left" vertical="center" wrapText="1"/>
    </xf>
    <xf numFmtId="0" fontId="8" fillId="0" borderId="0" xfId="0" applyFont="1" applyFill="1" applyAlignment="1">
      <alignment horizontal="left" vertical="center" wrapText="1"/>
    </xf>
    <xf numFmtId="0" fontId="8" fillId="0" borderId="21" xfId="0" applyFont="1" applyFill="1" applyBorder="1" applyAlignment="1">
      <alignment horizontal="left" vertical="center" wrapText="1"/>
    </xf>
    <xf numFmtId="0" fontId="4" fillId="0" borderId="0" xfId="0" applyFont="1" applyFill="1" applyAlignment="1">
      <alignment horizontal="right" vertical="center"/>
    </xf>
    <xf numFmtId="0" fontId="4" fillId="0" borderId="0" xfId="0" applyFont="1" applyFill="1" applyBorder="1" applyAlignment="1">
      <alignment horizontal="right" vertical="center"/>
    </xf>
    <xf numFmtId="0" fontId="6" fillId="2" borderId="0" xfId="0" applyFont="1" applyFill="1" applyAlignment="1">
      <alignment horizontal="left" vertical="center"/>
    </xf>
    <xf numFmtId="0" fontId="6" fillId="2" borderId="23" xfId="0" applyFont="1" applyFill="1" applyBorder="1" applyAlignment="1">
      <alignment horizontal="left" vertical="center"/>
    </xf>
    <xf numFmtId="0" fontId="6" fillId="0" borderId="21" xfId="0" applyFont="1" applyBorder="1" applyAlignment="1">
      <alignment horizontal="left" vertical="center"/>
    </xf>
    <xf numFmtId="0" fontId="5" fillId="2" borderId="0" xfId="3" applyFont="1" applyFill="1" applyBorder="1" applyAlignment="1">
      <alignment horizontal="left" vertical="center" wrapText="1"/>
    </xf>
    <xf numFmtId="0" fontId="6" fillId="0" borderId="0" xfId="3" applyFont="1" applyAlignment="1">
      <alignment horizontal="right" vertical="center" indent="1"/>
    </xf>
    <xf numFmtId="0" fontId="6" fillId="0" borderId="0" xfId="3" applyFont="1" applyBorder="1" applyAlignment="1">
      <alignment horizontal="right" vertical="center" indent="1"/>
    </xf>
    <xf numFmtId="0" fontId="61" fillId="0" borderId="21" xfId="0" applyFont="1" applyFill="1" applyBorder="1" applyAlignment="1">
      <alignment horizontal="center" vertical="center" wrapText="1"/>
    </xf>
    <xf numFmtId="0" fontId="6" fillId="2" borderId="5" xfId="3" applyFont="1" applyFill="1" applyBorder="1" applyAlignment="1" applyProtection="1">
      <alignment vertical="center"/>
      <protection locked="0"/>
    </xf>
    <xf numFmtId="0" fontId="8" fillId="2" borderId="0" xfId="0" applyFont="1" applyFill="1" applyAlignment="1">
      <alignment horizontal="left" vertical="center" wrapText="1"/>
    </xf>
    <xf numFmtId="0" fontId="8" fillId="2" borderId="21" xfId="0" applyFont="1" applyFill="1" applyBorder="1" applyAlignment="1">
      <alignment horizontal="left" vertical="center" wrapText="1"/>
    </xf>
    <xf numFmtId="0" fontId="13" fillId="2" borderId="0" xfId="0" applyFont="1" applyFill="1" applyAlignment="1">
      <alignment horizontal="left" vertical="center" wrapText="1"/>
    </xf>
    <xf numFmtId="0" fontId="6" fillId="0" borderId="0" xfId="0" applyFont="1" applyAlignment="1">
      <alignment horizontal="left" vertical="center" wrapText="1"/>
    </xf>
    <xf numFmtId="0" fontId="6" fillId="0" borderId="21" xfId="0" applyFont="1" applyBorder="1" applyAlignment="1">
      <alignment horizontal="left" vertical="center" wrapText="1"/>
    </xf>
    <xf numFmtId="0" fontId="59" fillId="0" borderId="0" xfId="0" applyFont="1" applyBorder="1" applyAlignment="1">
      <alignment horizontal="left" vertical="center" wrapText="1"/>
    </xf>
    <xf numFmtId="0" fontId="4" fillId="2" borderId="5" xfId="3" applyFont="1" applyFill="1" applyBorder="1" applyAlignment="1">
      <alignment horizontal="left" vertical="center" indent="1"/>
    </xf>
    <xf numFmtId="0" fontId="6" fillId="2" borderId="27" xfId="0" applyFont="1" applyFill="1" applyBorder="1" applyAlignment="1" applyProtection="1">
      <alignment horizontal="left"/>
      <protection locked="0"/>
    </xf>
    <xf numFmtId="0" fontId="6" fillId="2" borderId="28" xfId="0" applyFont="1" applyFill="1" applyBorder="1" applyAlignment="1" applyProtection="1">
      <alignment horizontal="left"/>
      <protection locked="0"/>
    </xf>
    <xf numFmtId="0" fontId="6" fillId="2" borderId="36" xfId="0" applyFont="1" applyFill="1" applyBorder="1" applyAlignment="1" applyProtection="1">
      <alignment horizontal="left"/>
      <protection locked="0"/>
    </xf>
    <xf numFmtId="0" fontId="6" fillId="2" borderId="20" xfId="0" applyFont="1" applyFill="1" applyBorder="1" applyAlignment="1" applyProtection="1">
      <alignment horizontal="left"/>
      <protection locked="0"/>
    </xf>
    <xf numFmtId="0" fontId="6" fillId="2" borderId="37" xfId="0" applyFont="1" applyFill="1" applyBorder="1" applyAlignment="1" applyProtection="1">
      <alignment horizontal="left"/>
      <protection locked="0"/>
    </xf>
    <xf numFmtId="0" fontId="29" fillId="2" borderId="0" xfId="0" applyFont="1" applyFill="1" applyAlignment="1">
      <alignment horizontal="left" vertical="center" wrapText="1"/>
    </xf>
    <xf numFmtId="0" fontId="8" fillId="0" borderId="0" xfId="0" applyFont="1" applyAlignment="1">
      <alignment horizontal="left"/>
    </xf>
    <xf numFmtId="0" fontId="4" fillId="2" borderId="0" xfId="0" applyFont="1" applyFill="1" applyAlignment="1">
      <alignment horizontal="left"/>
    </xf>
    <xf numFmtId="0" fontId="0" fillId="0" borderId="9" xfId="0" applyBorder="1" applyAlignment="1">
      <alignment horizontal="left"/>
    </xf>
    <xf numFmtId="0" fontId="4" fillId="5" borderId="22" xfId="0" applyFont="1" applyFill="1" applyBorder="1" applyAlignment="1">
      <alignment horizontal="center" vertical="center" wrapText="1"/>
    </xf>
    <xf numFmtId="0" fontId="4" fillId="5" borderId="23" xfId="0" applyFont="1" applyFill="1" applyBorder="1" applyAlignment="1">
      <alignment horizontal="center" vertical="center" wrapText="1"/>
    </xf>
    <xf numFmtId="0" fontId="4" fillId="5" borderId="24" xfId="0" applyFont="1" applyFill="1" applyBorder="1" applyAlignment="1">
      <alignment horizontal="center" vertical="center" wrapText="1"/>
    </xf>
    <xf numFmtId="0" fontId="4" fillId="5" borderId="25" xfId="0" applyFont="1" applyFill="1" applyBorder="1" applyAlignment="1">
      <alignment horizontal="center" vertical="center" wrapText="1"/>
    </xf>
    <xf numFmtId="0" fontId="4" fillId="5" borderId="19" xfId="0" applyFont="1" applyFill="1" applyBorder="1" applyAlignment="1">
      <alignment horizontal="center" vertical="center" wrapText="1"/>
    </xf>
    <xf numFmtId="0" fontId="4" fillId="5" borderId="26" xfId="0" applyFont="1" applyFill="1" applyBorder="1" applyAlignment="1">
      <alignment horizontal="center" vertical="center" wrapText="1"/>
    </xf>
    <xf numFmtId="0" fontId="6" fillId="2" borderId="11" xfId="0" applyFont="1" applyFill="1" applyBorder="1" applyAlignment="1" applyProtection="1">
      <alignment horizontal="left"/>
      <protection locked="0"/>
    </xf>
    <xf numFmtId="0" fontId="5" fillId="2" borderId="0" xfId="0" applyFont="1" applyFill="1" applyAlignment="1">
      <alignment horizontal="left" vertical="top"/>
    </xf>
    <xf numFmtId="0" fontId="6" fillId="2" borderId="29" xfId="0" applyFont="1" applyFill="1" applyBorder="1" applyAlignment="1" applyProtection="1">
      <protection locked="0"/>
    </xf>
    <xf numFmtId="0" fontId="6" fillId="2" borderId="30" xfId="0" applyFont="1" applyFill="1" applyBorder="1" applyAlignment="1" applyProtection="1">
      <protection locked="0"/>
    </xf>
    <xf numFmtId="0" fontId="6" fillId="2" borderId="12" xfId="0" applyFont="1" applyFill="1" applyBorder="1" applyAlignment="1" applyProtection="1">
      <protection locked="0"/>
    </xf>
    <xf numFmtId="0" fontId="5" fillId="2" borderId="21" xfId="0" applyFont="1" applyFill="1" applyBorder="1" applyAlignment="1">
      <alignment horizontal="left" vertical="center"/>
    </xf>
    <xf numFmtId="0" fontId="8" fillId="0" borderId="0" xfId="0" applyFont="1" applyAlignment="1">
      <alignment horizontal="left" vertical="top"/>
    </xf>
    <xf numFmtId="0" fontId="8" fillId="0" borderId="21" xfId="0" applyFont="1" applyBorder="1" applyAlignment="1">
      <alignment horizontal="left" vertical="top"/>
    </xf>
    <xf numFmtId="0" fontId="6" fillId="2" borderId="31" xfId="0" applyFont="1" applyFill="1" applyBorder="1" applyAlignment="1" applyProtection="1">
      <alignment horizontal="left"/>
      <protection locked="0"/>
    </xf>
    <xf numFmtId="0" fontId="6" fillId="2" borderId="32" xfId="0" applyFont="1" applyFill="1" applyBorder="1" applyAlignment="1" applyProtection="1">
      <alignment horizontal="left"/>
      <protection locked="0"/>
    </xf>
    <xf numFmtId="0" fontId="6" fillId="2" borderId="13" xfId="0" applyFont="1" applyFill="1" applyBorder="1" applyAlignment="1" applyProtection="1">
      <alignment horizontal="left"/>
      <protection locked="0"/>
    </xf>
    <xf numFmtId="0" fontId="4" fillId="5" borderId="9" xfId="0" applyFont="1" applyFill="1" applyBorder="1" applyAlignment="1">
      <alignment horizontal="center" vertical="center" wrapText="1"/>
    </xf>
    <xf numFmtId="0" fontId="4" fillId="5" borderId="21" xfId="0" applyFont="1" applyFill="1" applyBorder="1" applyAlignment="1">
      <alignment horizontal="center" vertical="center" wrapText="1"/>
    </xf>
    <xf numFmtId="0" fontId="57" fillId="2" borderId="34" xfId="0" applyFont="1" applyFill="1" applyBorder="1" applyAlignment="1" applyProtection="1">
      <alignment horizontal="left" vertical="center" wrapText="1" indent="1"/>
      <protection locked="0"/>
    </xf>
    <xf numFmtId="0" fontId="57" fillId="2" borderId="35" xfId="0" applyFont="1" applyFill="1" applyBorder="1" applyAlignment="1" applyProtection="1">
      <alignment horizontal="left" vertical="center" wrapText="1" indent="1"/>
      <protection locked="0"/>
    </xf>
    <xf numFmtId="0" fontId="57" fillId="2" borderId="10" xfId="0" applyFont="1" applyFill="1" applyBorder="1" applyAlignment="1" applyProtection="1">
      <alignment horizontal="left" vertical="center" wrapText="1" indent="1"/>
      <protection locked="0"/>
    </xf>
    <xf numFmtId="0" fontId="40" fillId="0" borderId="0" xfId="0" applyFont="1" applyAlignment="1">
      <alignment horizontal="left" vertical="center" wrapText="1"/>
    </xf>
    <xf numFmtId="0" fontId="26" fillId="0" borderId="0" xfId="0" applyFont="1" applyAlignment="1">
      <alignment horizontal="left" vertical="center" wrapText="1"/>
    </xf>
    <xf numFmtId="0" fontId="26" fillId="0" borderId="0" xfId="0" applyFont="1" applyAlignment="1">
      <alignment horizontal="left" wrapText="1"/>
    </xf>
    <xf numFmtId="0" fontId="26" fillId="0" borderId="23" xfId="0" applyFont="1" applyBorder="1" applyAlignment="1">
      <alignment horizontal="left" vertical="center" wrapText="1"/>
    </xf>
    <xf numFmtId="0" fontId="42" fillId="0" borderId="0" xfId="0" applyFont="1" applyAlignment="1">
      <alignment horizontal="left" vertical="center" wrapText="1"/>
    </xf>
    <xf numFmtId="0" fontId="42" fillId="0" borderId="19" xfId="0" applyFont="1" applyBorder="1" applyAlignment="1">
      <alignment horizontal="left" vertical="center" wrapText="1"/>
    </xf>
    <xf numFmtId="0" fontId="48" fillId="0" borderId="23" xfId="0" applyFont="1" applyBorder="1" applyAlignment="1">
      <alignment horizontal="left" vertical="center" wrapText="1"/>
    </xf>
    <xf numFmtId="0" fontId="26" fillId="0" borderId="0" xfId="0" applyFont="1" applyAlignment="1">
      <alignment vertical="center" wrapText="1"/>
    </xf>
    <xf numFmtId="0" fontId="40" fillId="0" borderId="19" xfId="0" applyFont="1" applyBorder="1" applyAlignment="1">
      <alignment horizontal="left" vertical="center" wrapText="1"/>
    </xf>
    <xf numFmtId="0" fontId="49" fillId="0" borderId="23" xfId="0" applyFont="1" applyBorder="1" applyAlignment="1">
      <alignment vertical="center" wrapText="1"/>
    </xf>
    <xf numFmtId="0" fontId="47" fillId="0" borderId="0" xfId="0" applyFont="1" applyAlignment="1">
      <alignment horizontal="left" vertical="center" wrapText="1"/>
    </xf>
    <xf numFmtId="0" fontId="43" fillId="0" borderId="42" xfId="0" applyFont="1" applyBorder="1" applyAlignment="1">
      <alignment horizontal="left" vertical="center" wrapText="1"/>
    </xf>
    <xf numFmtId="0" fontId="40" fillId="0" borderId="41" xfId="0" applyFont="1" applyBorder="1" applyAlignment="1">
      <alignment horizontal="left" vertical="center" wrapText="1"/>
    </xf>
    <xf numFmtId="0" fontId="44" fillId="0" borderId="0" xfId="0" applyFont="1" applyAlignment="1">
      <alignment horizontal="left" vertical="center" wrapText="1"/>
    </xf>
    <xf numFmtId="0" fontId="46" fillId="0" borderId="0" xfId="0" applyFont="1" applyAlignment="1">
      <alignment horizontal="left" vertical="center" wrapText="1"/>
    </xf>
    <xf numFmtId="0" fontId="26" fillId="0" borderId="39" xfId="0" applyFont="1" applyBorder="1" applyAlignment="1">
      <alignment horizontal="left" vertical="center" wrapText="1"/>
    </xf>
    <xf numFmtId="0" fontId="43" fillId="0" borderId="0" xfId="0" applyFont="1" applyAlignment="1">
      <alignment vertical="center" wrapText="1"/>
    </xf>
    <xf numFmtId="0" fontId="6" fillId="2" borderId="0" xfId="0" applyFont="1" applyFill="1" applyAlignment="1">
      <alignment horizontal="left" vertical="top" wrapText="1"/>
    </xf>
  </cellXfs>
  <cellStyles count="4">
    <cellStyle name="Hyperlink" xfId="1" builtinId="8"/>
    <cellStyle name="Normal" xfId="0" builtinId="0"/>
    <cellStyle name="Normal 2" xfId="2" xr:uid="{00000000-0005-0000-0000-000002000000}"/>
    <cellStyle name="Normal 3" xfId="3" xr:uid="{00000000-0005-0000-0000-000003000000}"/>
  </cellStyles>
  <dxfs count="58">
    <dxf>
      <font>
        <b val="0"/>
        <i val="0"/>
        <color rgb="FFFF0000"/>
      </font>
    </dxf>
    <dxf>
      <font>
        <b val="0"/>
        <i val="0"/>
        <color rgb="FFFF0000"/>
      </font>
    </dxf>
    <dxf>
      <font>
        <b val="0"/>
        <i val="0"/>
        <color rgb="FFFF0000"/>
      </font>
    </dxf>
    <dxf>
      <font>
        <b val="0"/>
        <i val="0"/>
        <color rgb="FFFF0000"/>
      </font>
    </dxf>
    <dxf>
      <font>
        <color theme="3" tint="-0.24994659260841701"/>
      </font>
    </dxf>
    <dxf>
      <font>
        <b val="0"/>
        <i val="0"/>
        <color rgb="FFFF0000"/>
      </font>
    </dxf>
    <dxf>
      <font>
        <color theme="3" tint="-0.24994659260841701"/>
      </font>
    </dxf>
    <dxf>
      <font>
        <color theme="3" tint="-0.24994659260841701"/>
      </font>
    </dxf>
    <dxf>
      <font>
        <color theme="3" tint="-0.24994659260841701"/>
      </font>
    </dxf>
    <dxf>
      <font>
        <color theme="3" tint="-0.24994659260841701"/>
      </font>
    </dxf>
    <dxf>
      <font>
        <color rgb="FFFF0000"/>
      </font>
    </dxf>
    <dxf>
      <font>
        <b val="0"/>
        <i val="0"/>
        <color rgb="FFFF0000"/>
      </font>
    </dxf>
    <dxf>
      <font>
        <b val="0"/>
        <i val="0"/>
        <color rgb="FFFF0000"/>
      </font>
    </dxf>
    <dxf>
      <font>
        <b val="0"/>
        <i val="0"/>
        <color rgb="FFFF0000"/>
      </font>
    </dxf>
    <dxf>
      <font>
        <b val="0"/>
        <i val="0"/>
        <color rgb="FFFF0000"/>
      </font>
    </dxf>
    <dxf>
      <font>
        <b val="0"/>
        <i val="0"/>
        <color rgb="FFFF0000"/>
      </font>
    </dxf>
    <dxf>
      <font>
        <b val="0"/>
        <i val="0"/>
        <color rgb="FFFF0000"/>
      </font>
    </dxf>
    <dxf>
      <font>
        <color rgb="FFFF0000"/>
      </font>
    </dxf>
    <dxf>
      <font>
        <b val="0"/>
        <i val="0"/>
        <color rgb="FFFF0000"/>
      </font>
    </dxf>
    <dxf>
      <font>
        <color rgb="FFFF0000"/>
      </font>
    </dxf>
    <dxf>
      <font>
        <color rgb="FFFF0000"/>
      </font>
    </dxf>
    <dxf>
      <font>
        <color rgb="FFFF0000"/>
      </font>
    </dxf>
    <dxf>
      <font>
        <color rgb="FFFF0000"/>
      </font>
    </dxf>
    <dxf>
      <font>
        <color rgb="FFFF0000"/>
      </font>
    </dxf>
    <dxf>
      <font>
        <b val="0"/>
        <i val="0"/>
        <color rgb="FFFF0000"/>
      </font>
    </dxf>
    <dxf>
      <alignment horizontal="general" vertical="top" textRotation="0" wrapText="1" indent="0" justifyLastLine="0" shrinkToFit="0" readingOrder="0"/>
    </dxf>
    <dxf>
      <alignment horizontal="general" vertical="top"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9"/>
          <bgColor rgb="FF3333FF"/>
        </patternFill>
      </fill>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9"/>
          <bgColor rgb="FF3333FF"/>
        </patternFill>
      </fill>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9"/>
          <bgColor rgb="FF3333FF"/>
        </patternFill>
      </fill>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9"/>
          <bgColor rgb="FF3333FF"/>
        </patternFill>
      </fill>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9"/>
          <bgColor rgb="FF3333FF"/>
        </patternFill>
      </fill>
      <alignment horizontal="general" vertical="top"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9"/>
          <bgColor rgb="FF3333FF"/>
        </patternFill>
      </fil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9"/>
          <bgColor rgb="FF3333FF"/>
        </patternFill>
      </fill>
      <alignment horizontal="general" vertical="bottom"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9"/>
          <bgColor rgb="FF3333FF"/>
        </patternFill>
      </fill>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9"/>
          <bgColor rgb="FF3333FF"/>
        </patternFill>
      </fill>
      <alignment horizontal="general" vertical="top"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9"/>
          <bgColor rgb="FF3333FF"/>
        </patternFill>
      </fill>
      <alignment horizontal="general" vertical="bottom"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9"/>
          <bgColor rgb="FF3333FF"/>
        </patternFill>
      </fill>
      <alignment horizontal="general" vertical="top" textRotation="0" wrapText="1" indent="0" justifyLastLine="0" shrinkToFit="0" readingOrder="0"/>
    </dxf>
  </dxfs>
  <tableStyles count="0" defaultTableStyle="TableStyleMedium9" defaultPivotStyle="PivotStyleLight16"/>
  <colors>
    <mruColors>
      <color rgb="FFFFFF99"/>
      <color rgb="FF3333FF"/>
      <color rgb="FF339933"/>
      <color rgb="FFFFFFCC"/>
      <color rgb="FF008000"/>
      <color rgb="FF99FF33"/>
      <color rgb="FF33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11</xdr:col>
      <xdr:colOff>530165</xdr:colOff>
      <xdr:row>0</xdr:row>
      <xdr:rowOff>89858</xdr:rowOff>
    </xdr:from>
    <xdr:to>
      <xdr:col>11</xdr:col>
      <xdr:colOff>736840</xdr:colOff>
      <xdr:row>1</xdr:row>
      <xdr:rowOff>80873</xdr:rowOff>
    </xdr:to>
    <xdr:sp macro="[0]!ShowHideReportSource" textlink="">
      <xdr:nvSpPr>
        <xdr:cNvPr id="2" name="Isosceles Triangle 1">
          <a:extLst>
            <a:ext uri="{FF2B5EF4-FFF2-40B4-BE49-F238E27FC236}">
              <a16:creationId xmlns:a16="http://schemas.microsoft.com/office/drawing/2014/main" id="{00000000-0008-0000-0000-000002000000}"/>
            </a:ext>
          </a:extLst>
        </xdr:cNvPr>
        <xdr:cNvSpPr/>
      </xdr:nvSpPr>
      <xdr:spPr bwMode="auto">
        <a:xfrm>
          <a:off x="14575047" y="89858"/>
          <a:ext cx="206675" cy="152760"/>
        </a:xfrm>
        <a:prstGeom prst="triangle">
          <a:avLst/>
        </a:prstGeom>
        <a:solidFill>
          <a:srgbClr val="FFFFFF"/>
        </a:solidFill>
        <a:ln w="19050" cap="flat" cmpd="sng" algn="ctr">
          <a:solidFill>
            <a:schemeClr val="bg1">
              <a:lumMod val="75000"/>
            </a:schemeClr>
          </a:solidFill>
          <a:prstDash val="solid"/>
          <a:round/>
          <a:headEnd type="none" w="med" len="med"/>
          <a:tailEnd type="none" w="med" len="med"/>
        </a:ln>
        <a:effectLst/>
      </xdr:spPr>
      <xdr:txBody>
        <a:bodyPr vertOverflow="clip" horzOverflow="clip" wrap="square" lIns="18288" tIns="0" rIns="0" bIns="0" rtlCol="0" anchor="t" upright="1"/>
        <a:lstStyle/>
        <a:p>
          <a:pPr algn="l"/>
          <a:endParaRPr lang="en-GB" sz="1100"/>
        </a:p>
      </xdr:txBody>
    </xdr:sp>
    <xdr:clientData/>
  </xdr:twoCellAnchor>
  <xdr:twoCellAnchor>
    <xdr:from>
      <xdr:col>24</xdr:col>
      <xdr:colOff>197692</xdr:colOff>
      <xdr:row>0</xdr:row>
      <xdr:rowOff>89857</xdr:rowOff>
    </xdr:from>
    <xdr:to>
      <xdr:col>24</xdr:col>
      <xdr:colOff>404367</xdr:colOff>
      <xdr:row>1</xdr:row>
      <xdr:rowOff>80872</xdr:rowOff>
    </xdr:to>
    <xdr:sp macro="[0]!ShowHideReportSource" textlink="">
      <xdr:nvSpPr>
        <xdr:cNvPr id="4" name="Isosceles Triangle 3">
          <a:extLst>
            <a:ext uri="{FF2B5EF4-FFF2-40B4-BE49-F238E27FC236}">
              <a16:creationId xmlns:a16="http://schemas.microsoft.com/office/drawing/2014/main" id="{00000000-0008-0000-0000-000004000000}"/>
            </a:ext>
          </a:extLst>
        </xdr:cNvPr>
        <xdr:cNvSpPr/>
      </xdr:nvSpPr>
      <xdr:spPr bwMode="auto">
        <a:xfrm>
          <a:off x="15266961" y="89857"/>
          <a:ext cx="206675" cy="152760"/>
        </a:xfrm>
        <a:prstGeom prst="triangle">
          <a:avLst/>
        </a:prstGeom>
        <a:solidFill>
          <a:srgbClr val="FFFFFF"/>
        </a:solidFill>
        <a:ln w="19050" cap="flat" cmpd="sng" algn="ctr">
          <a:solidFill>
            <a:schemeClr val="bg1">
              <a:lumMod val="75000"/>
            </a:schemeClr>
          </a:solidFill>
          <a:prstDash val="solid"/>
          <a:round/>
          <a:headEnd type="none" w="med" len="med"/>
          <a:tailEnd type="none" w="med" len="med"/>
        </a:ln>
        <a:effectLst/>
      </xdr:spPr>
      <xdr:txBody>
        <a:bodyPr vertOverflow="clip" horzOverflow="clip" wrap="square" lIns="18288" tIns="0" rIns="0" bIns="0" rtlCol="0" anchor="t" upright="1"/>
        <a:lstStyle/>
        <a:p>
          <a:pPr algn="l"/>
          <a:endParaRPr lang="en-GB" sz="1100"/>
        </a:p>
      </xdr:txBody>
    </xdr:sp>
    <xdr:clientData/>
  </xdr:twoCellAnchor>
  <xdr:twoCellAnchor editAs="oneCell">
    <xdr:from>
      <xdr:col>5</xdr:col>
      <xdr:colOff>197689</xdr:colOff>
      <xdr:row>0</xdr:row>
      <xdr:rowOff>91911</xdr:rowOff>
    </xdr:from>
    <xdr:to>
      <xdr:col>6</xdr:col>
      <xdr:colOff>536824</xdr:colOff>
      <xdr:row>2</xdr:row>
      <xdr:rowOff>155395</xdr:rowOff>
    </xdr:to>
    <xdr:pic macro="[0]!showuserform">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7637972" y="91911"/>
          <a:ext cx="1364792" cy="66290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1</xdr:col>
      <xdr:colOff>0</xdr:colOff>
      <xdr:row>111</xdr:row>
      <xdr:rowOff>0</xdr:rowOff>
    </xdr:from>
    <xdr:to>
      <xdr:col>1</xdr:col>
      <xdr:colOff>1368258</xdr:colOff>
      <xdr:row>113</xdr:row>
      <xdr:rowOff>79571</xdr:rowOff>
    </xdr:to>
    <xdr:pic macro="[0]!showuserform">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stretch>
          <a:fillRect/>
        </a:stretch>
      </xdr:blipFill>
      <xdr:spPr>
        <a:xfrm>
          <a:off x="687917" y="20288250"/>
          <a:ext cx="1366988" cy="662501"/>
        </a:xfrm>
        <a:prstGeom prst="rect">
          <a:avLst/>
        </a:prstGeom>
        <a:ln>
          <a:noFill/>
        </a:ln>
        <a:effectLst>
          <a:outerShdw blurRad="292100" dist="139700" dir="2700000" algn="tl" rotWithShape="0">
            <a:srgbClr val="333333">
              <a:alpha val="65000"/>
            </a:srgbClr>
          </a:outerShdw>
        </a:effec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0B5944F-B235-4588-9604-EAFD6600D648}" name="Table1" displayName="Table1" ref="A1:A12" totalsRowShown="0">
  <autoFilter ref="A1:A12" xr:uid="{3F26FC23-EC3C-4239-AC66-E4E20DC8197D}"/>
  <tableColumns count="1">
    <tableColumn id="1" xr3:uid="{C10AF8E1-72D6-4D81-A254-EEF8603C31DA}" name="HEE_Local_Office"/>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CFE457B-02EE-48AF-9844-DDEFB235AC53}" name="Table2" displayName="Table2" ref="C1:C11" totalsRowShown="0" headerRowDxfId="57" dataDxfId="56">
  <autoFilter ref="C1:C11" xr:uid="{7D9EAC36-D27C-4DF0-9E42-FA9453241621}"/>
  <sortState xmlns:xlrd2="http://schemas.microsoft.com/office/spreadsheetml/2017/richdata2" ref="C2:C11">
    <sortCondition ref="C2:C11"/>
  </sortState>
  <tableColumns count="1">
    <tableColumn id="1" xr3:uid="{70831771-850E-4A18-B4D3-89D22627EAB8}" name="East Midlands" dataDxfId="55"/>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502EFD9-832C-4C32-B143-1E283D6240EB}" name="Table3" displayName="Table3" ref="E1:E18" totalsRowShown="0" headerRowDxfId="54" dataDxfId="53">
  <autoFilter ref="E1:E18" xr:uid="{7B18EE78-690D-47E6-A6FD-68C5E4B48BBF}"/>
  <sortState xmlns:xlrd2="http://schemas.microsoft.com/office/spreadsheetml/2017/richdata2" ref="E2:E18">
    <sortCondition ref="E2:E18"/>
  </sortState>
  <tableColumns count="1">
    <tableColumn id="1" xr3:uid="{7EC6C48C-22B2-431C-A4F3-B007175A1999}" name="East of England" dataDxfId="52"/>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5066AA9-BCAA-4270-A754-7DBBE2CAEFB7}" name="Table4" displayName="Table4" ref="G1:G12" totalsRowShown="0" headerRowDxfId="51" dataDxfId="50">
  <autoFilter ref="G1:G12" xr:uid="{AD734CCE-E2FF-4D83-9E0F-90C0C580F7F9}"/>
  <sortState xmlns:xlrd2="http://schemas.microsoft.com/office/spreadsheetml/2017/richdata2" ref="G2:G12">
    <sortCondition ref="G2:G12"/>
  </sortState>
  <tableColumns count="1">
    <tableColumn id="1" xr3:uid="{CE287F5A-4D24-46F6-8374-72F8E6E0C0E5}" name="Kent, Surrey and Sussex" dataDxfId="49"/>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FAEF42A-78F9-48E1-B544-8E93F68FA1B4}" name="Table5" displayName="Table5" ref="I1:I32" totalsRowShown="0" headerRowDxfId="48" dataDxfId="47">
  <autoFilter ref="I1:I32" xr:uid="{04A87729-F5E9-43C9-B94B-162855DA3BA7}"/>
  <sortState xmlns:xlrd2="http://schemas.microsoft.com/office/spreadsheetml/2017/richdata2" ref="I2:I32">
    <sortCondition ref="I2:I32"/>
  </sortState>
  <tableColumns count="1">
    <tableColumn id="1" xr3:uid="{33C677E4-6EEB-41DC-B818-A9622CA70395}" name="London" dataDxfId="46"/>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F822693-675C-4913-962E-5D8C34248DA2}" name="Table6" displayName="Table6" ref="K1:K11" totalsRowShown="0" headerRowDxfId="45" dataDxfId="44">
  <autoFilter ref="K1:K11" xr:uid="{EA2BD15D-F204-427F-963E-C7E0703AEB94}"/>
  <sortState xmlns:xlrd2="http://schemas.microsoft.com/office/spreadsheetml/2017/richdata2" ref="K2:K11">
    <sortCondition ref="K2:K11"/>
  </sortState>
  <tableColumns count="1">
    <tableColumn id="1" xr3:uid="{32446AC1-65F2-4FC5-A7F3-13D6E97213CE}" name="North East" dataDxfId="43"/>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6E427D0-A899-4D02-99D7-62B9332631DE}" name="Table7" displayName="Table7" ref="M1:M34" totalsRowShown="0" headerRowDxfId="42" dataDxfId="41">
  <autoFilter ref="M1:M34" xr:uid="{0B5F0E54-8E41-4929-931E-FA087634C9A0}"/>
  <sortState xmlns:xlrd2="http://schemas.microsoft.com/office/spreadsheetml/2017/richdata2" ref="M2:M34">
    <sortCondition ref="M2:M34"/>
  </sortState>
  <tableColumns count="1">
    <tableColumn id="1" xr3:uid="{6BF1C945-6838-454D-B5B6-478183339CDC}" name="North West" dataDxfId="40"/>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CF930F0-74C1-49CE-B6F0-E1697BBFE1FC}" name="Table8" displayName="Table8" ref="O1:O17" totalsRowShown="0" headerRowDxfId="39" dataDxfId="38">
  <autoFilter ref="O1:O17" xr:uid="{69069F3C-DCA8-4D88-B9B9-D3D86CB63370}"/>
  <sortState xmlns:xlrd2="http://schemas.microsoft.com/office/spreadsheetml/2017/richdata2" ref="O2:O17">
    <sortCondition ref="O2:O17"/>
  </sortState>
  <tableColumns count="1">
    <tableColumn id="1" xr3:uid="{9D25CACD-FFE6-4A03-B9A7-8F7FF79FAEFA}" name="South West" dataDxfId="37"/>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12B4FF6-FFC5-46C4-BF2B-0A531EBEB544}" name="Table9" displayName="Table9" ref="Q1:Q9" totalsRowShown="0" headerRowDxfId="36" dataDxfId="35">
  <autoFilter ref="Q1:Q9" xr:uid="{D5F31440-BC55-4389-8930-F5C639793732}"/>
  <sortState xmlns:xlrd2="http://schemas.microsoft.com/office/spreadsheetml/2017/richdata2" ref="Q2:Q9">
    <sortCondition ref="Q2:Q9"/>
  </sortState>
  <tableColumns count="1">
    <tableColumn id="1" xr3:uid="{E95DFF91-5361-4E64-B944-D1DDB54DF0E5}" name="Thames Valley" dataDxfId="34"/>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FA1FC71-23E9-4D21-8681-AB81371C2B7E}" name="Table10" displayName="Table10" ref="S1:S6" totalsRowShown="0" headerRowDxfId="33" dataDxfId="32">
  <autoFilter ref="S1:S6" xr:uid="{3F56B80F-096D-4D01-8E2A-AC88B7C8D230}"/>
  <sortState xmlns:xlrd2="http://schemas.microsoft.com/office/spreadsheetml/2017/richdata2" ref="S2:S6">
    <sortCondition ref="S1:S6"/>
  </sortState>
  <tableColumns count="1">
    <tableColumn id="1" xr3:uid="{2881E67D-5106-4CE2-BA1D-D1C70A1FF9B1}" name="Wessex" dataDxfId="31"/>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E80D0D1-7A85-4FC0-A33E-A2B44304A8CE}" name="Table11" displayName="Table11" ref="U1:U23" totalsRowShown="0" headerRowDxfId="30" dataDxfId="29">
  <autoFilter ref="U1:U23" xr:uid="{18817C35-7E5D-41D6-A429-3ABD382A70EB}"/>
  <sortState xmlns:xlrd2="http://schemas.microsoft.com/office/spreadsheetml/2017/richdata2" ref="U2:U23">
    <sortCondition ref="U2:U23"/>
  </sortState>
  <tableColumns count="1">
    <tableColumn id="1" xr3:uid="{707A48F8-1501-48F6-8D98-8CA85B7A63CD}" name="West Midlands" dataDxfId="28"/>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19BA90B-1AFF-4EE8-8742-EE261AA2FD97}" name="Table12" displayName="Table12" ref="W1:W19" totalsRowShown="0" headerRowDxfId="27" dataDxfId="26">
  <autoFilter ref="W1:W19" xr:uid="{DB2B7C45-EA8A-48C9-A961-371D68079F4E}"/>
  <sortState xmlns:xlrd2="http://schemas.microsoft.com/office/spreadsheetml/2017/richdata2" ref="W2:W19">
    <sortCondition ref="W2:W19"/>
  </sortState>
  <tableColumns count="1">
    <tableColumn id="1" xr3:uid="{AC434F36-01D4-46D6-98D4-C8E0E66B9074}" name="Yorks. and the Humber" dataDxfId="25"/>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mailto:LKS.ME@hee.nhs.uk" TargetMode="External"/></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Y157"/>
  <sheetViews>
    <sheetView showGridLines="0" topLeftCell="A94" zoomScaleNormal="100" zoomScaleSheetLayoutView="100" zoomScalePageLayoutView="90" workbookViewId="0">
      <selection activeCell="F106" sqref="F106:J109"/>
    </sheetView>
  </sheetViews>
  <sheetFormatPr defaultColWidth="9.44140625" defaultRowHeight="13.8" x14ac:dyDescent="0.3"/>
  <cols>
    <col min="1" max="1" width="10.33203125" style="1" customWidth="1"/>
    <col min="2" max="2" width="55.33203125" style="1" customWidth="1"/>
    <col min="3" max="3" width="15.44140625" style="1" customWidth="1"/>
    <col min="4" max="4" width="16.33203125" style="1" customWidth="1"/>
    <col min="5" max="11" width="15.44140625" style="1" customWidth="1"/>
    <col min="12" max="14" width="15.44140625" style="1" hidden="1" customWidth="1"/>
    <col min="15" max="15" width="4.6640625" style="1" hidden="1" customWidth="1"/>
    <col min="16" max="16" width="12.5546875" style="1" hidden="1" customWidth="1"/>
    <col min="17" max="17" width="9.44140625" style="1" hidden="1" customWidth="1"/>
    <col min="18" max="18" width="8.44140625" style="73" hidden="1" customWidth="1"/>
    <col min="19" max="19" width="4.6640625" style="73" hidden="1" customWidth="1"/>
    <col min="20" max="20" width="60.88671875" style="43" hidden="1" customWidth="1"/>
    <col min="21" max="21" width="7.6640625" style="73" hidden="1" customWidth="1"/>
    <col min="22" max="22" width="48" style="5" hidden="1" customWidth="1"/>
    <col min="23" max="23" width="9.6640625" style="1" hidden="1" customWidth="1"/>
    <col min="24" max="25" width="9.44140625" style="1" hidden="1" customWidth="1"/>
    <col min="26" max="26" width="2.33203125" style="1" customWidth="1"/>
    <col min="27" max="163" width="9.44140625" style="1" customWidth="1"/>
    <col min="164" max="16384" width="9.44140625" style="1"/>
  </cols>
  <sheetData>
    <row r="1" spans="1:23" ht="14.4" x14ac:dyDescent="0.3">
      <c r="A1" s="1" t="str">
        <f>" 
"</f>
        <v xml:space="preserve"> 
</v>
      </c>
      <c r="B1" s="52" t="s">
        <v>0</v>
      </c>
      <c r="D1" s="2"/>
      <c r="E1" s="3"/>
      <c r="F1" s="44"/>
      <c r="Q1" s="106"/>
      <c r="R1" s="107" t="s">
        <v>1</v>
      </c>
      <c r="S1" s="107" t="s">
        <v>2</v>
      </c>
      <c r="U1" s="185"/>
    </row>
    <row r="2" spans="1:23" ht="31.2" x14ac:dyDescent="0.3">
      <c r="B2" s="213">
        <v>44287</v>
      </c>
      <c r="E2" s="69" t="s">
        <v>3</v>
      </c>
      <c r="R2" s="88" t="str">
        <f>" 
"</f>
        <v xml:space="preserve"> 
</v>
      </c>
      <c r="S2" s="88" t="s">
        <v>4</v>
      </c>
      <c r="T2" s="75" t="s">
        <v>5</v>
      </c>
      <c r="U2" s="75" t="s">
        <v>6</v>
      </c>
      <c r="V2" s="75" t="s">
        <v>7</v>
      </c>
      <c r="W2" s="91" t="s">
        <v>8</v>
      </c>
    </row>
    <row r="3" spans="1:23" ht="13.5" customHeight="1" x14ac:dyDescent="0.3">
      <c r="R3" s="1" t="s">
        <v>9</v>
      </c>
      <c r="S3" s="1"/>
      <c r="T3" s="76"/>
      <c r="U3" s="185"/>
      <c r="V3" s="87" t="s">
        <v>10</v>
      </c>
    </row>
    <row r="4" spans="1:23" ht="21.75" customHeight="1" thickBot="1" x14ac:dyDescent="0.35">
      <c r="A4" s="277" t="s">
        <v>11</v>
      </c>
      <c r="B4" s="277"/>
      <c r="C4" s="277"/>
      <c r="D4" s="50"/>
      <c r="R4" s="102"/>
      <c r="S4" s="74" t="s">
        <v>12</v>
      </c>
      <c r="T4" s="85" t="str">
        <f>"SERVICE DETAILS:"&amp;LineBreak</f>
        <v xml:space="preserve">SERVICE DETAILS: 
</v>
      </c>
      <c r="U4" s="74" t="b">
        <v>1</v>
      </c>
      <c r="V4" s="92" t="str">
        <f xml:space="preserve"> IF(U4,T4&amp;IF(W4&lt;&gt;"",IF(R4&lt;&gt;"", "  ("&amp;R4&amp;")  - ",""),""),"")</f>
        <v xml:space="preserve">SERVICE DETAILS: 
</v>
      </c>
      <c r="W4" s="93"/>
    </row>
    <row r="5" spans="1:23" x14ac:dyDescent="0.3">
      <c r="B5" s="30" t="s">
        <v>13</v>
      </c>
      <c r="C5" s="315"/>
      <c r="D5" s="316"/>
      <c r="E5" s="316"/>
      <c r="F5" s="330"/>
      <c r="G5" s="321"/>
      <c r="H5" s="321"/>
      <c r="I5" s="321"/>
      <c r="J5" s="321"/>
      <c r="K5" s="215"/>
      <c r="L5" s="215"/>
      <c r="M5" s="215"/>
      <c r="N5" s="215"/>
      <c r="O5" s="215"/>
      <c r="R5" s="74"/>
      <c r="S5" s="74" t="str">
        <f ca="1">IF( ISERROR(IF(OR(INDIRECT(R5)=0,INDIRECT(R5)=""),1,0)),"",IF(OR(INDIRECT(R5)=0,INDIRECT(R5)=""),1,0))</f>
        <v/>
      </c>
      <c r="T5" s="77" t="str">
        <f>LineBreak&amp;"Please Add…."&amp;LineBreak</f>
        <v xml:space="preserve"> 
Please Add…. 
</v>
      </c>
      <c r="U5" s="94" t="b">
        <f ca="1">OR(U6,U7,U8,U10,U11,U12,U13,U14)</f>
        <v>1</v>
      </c>
      <c r="V5" s="92" t="str">
        <f ca="1" xml:space="preserve"> IF(U5,T5&amp;IF(W5&lt;&gt;"",IF(R5&lt;&gt;"", "  ("&amp;R5&amp;")  - ",""),""),"")</f>
        <v xml:space="preserve"> 
Please Add…. 
</v>
      </c>
      <c r="W5" s="93"/>
    </row>
    <row r="6" spans="1:23" x14ac:dyDescent="0.3">
      <c r="B6" s="31" t="s">
        <v>14</v>
      </c>
      <c r="C6" s="332"/>
      <c r="D6" s="333"/>
      <c r="E6" s="333"/>
      <c r="F6" s="334"/>
      <c r="G6" s="4"/>
      <c r="H6" s="4"/>
      <c r="I6" s="4"/>
      <c r="R6" s="126" t="str">
        <f>ADDRESS(ROW(C5),COLUMN(C5),4)</f>
        <v>C5</v>
      </c>
      <c r="S6" s="74">
        <f ca="1">IF( ISERROR(IF(OR(INDIRECT(R6)=0,INDIRECT(R6)=""),1,0)),"",IF(OR(INDIRECT(R6)=0,INDIRECT(R6)=""),1,0))</f>
        <v>1</v>
      </c>
      <c r="T6" s="77" t="str">
        <f>Indent&amp;"HEE LOCAL AREA!!"</f>
        <v xml:space="preserve">                 HEE LOCAL AREA!!</v>
      </c>
      <c r="U6" s="94" t="b">
        <f ca="1">S6=1</f>
        <v>1</v>
      </c>
      <c r="V6" s="92" t="str">
        <f ca="1" xml:space="preserve"> IF(U6,T6&amp;IF(W6&lt;&gt;"",IF(R6&lt;&gt;"", "  ("&amp;R6&amp;")  - ",""),""),"")</f>
        <v xml:space="preserve">                 HEE LOCAL AREA!!  (C5)  - </v>
      </c>
      <c r="W6" s="93" t="s">
        <v>15</v>
      </c>
    </row>
    <row r="7" spans="1:23" ht="14.4" thickBot="1" x14ac:dyDescent="0.35">
      <c r="B7" s="41" t="s">
        <v>16</v>
      </c>
      <c r="C7" s="338"/>
      <c r="D7" s="339"/>
      <c r="E7" s="339"/>
      <c r="F7" s="340"/>
      <c r="G7" s="4"/>
      <c r="H7" s="4"/>
      <c r="I7" s="4"/>
      <c r="R7" s="126" t="str">
        <f>ADDRESS(ROW(C6),COLUMN(C6),4)</f>
        <v>C6</v>
      </c>
      <c r="S7" s="74">
        <f t="shared" ref="S7:S79" ca="1" si="0">IF( ISERROR(IF(OR(INDIRECT(R7)=0,INDIRECT(R7)=""),1,0)),"",IF(OR(INDIRECT(R7)=0,INDIRECT(R7)=""),1,0))</f>
        <v>1</v>
      </c>
      <c r="T7" s="77" t="str">
        <f>Indent&amp;"Lead Library service managing org. name"</f>
        <v xml:space="preserve">                 Lead Library service managing org. name</v>
      </c>
      <c r="U7" s="94" t="b">
        <f t="shared" ref="U7:U8" ca="1" si="1">S7=1</f>
        <v>1</v>
      </c>
      <c r="V7" s="92" t="str">
        <f t="shared" ref="V7:V79" ca="1" si="2" xml:space="preserve"> IF(U7,T7&amp;IF(W7&lt;&gt;"",IF(R7&lt;&gt;"", "  ("&amp;R7&amp;")  - ",""),""),"")</f>
        <v xml:space="preserve">                 Lead Library service managing org. name  (C6)  - </v>
      </c>
      <c r="W7" s="93" t="s">
        <v>15</v>
      </c>
    </row>
    <row r="8" spans="1:23" customFormat="1" x14ac:dyDescent="0.3">
      <c r="C8" s="5"/>
      <c r="D8" s="5"/>
      <c r="E8" s="5"/>
      <c r="F8" s="5"/>
      <c r="R8" s="126" t="str">
        <f>ADDRESS(ROW(C7),COLUMN(C7),4)</f>
        <v>C7</v>
      </c>
      <c r="S8" s="74">
        <f t="shared" ca="1" si="0"/>
        <v>1</v>
      </c>
      <c r="T8" s="77" t="str">
        <f>Indent&amp;"Library Service Sector"</f>
        <v xml:space="preserve">                 Library Service Sector</v>
      </c>
      <c r="U8" s="94" t="b">
        <f t="shared" ca="1" si="1"/>
        <v>1</v>
      </c>
      <c r="V8" s="92" t="str">
        <f t="shared" ca="1" si="2"/>
        <v xml:space="preserve">                 Library Service Sector  (C7)  - </v>
      </c>
      <c r="W8" s="93" t="s">
        <v>15</v>
      </c>
    </row>
    <row r="9" spans="1:23" ht="16.5" customHeight="1" thickBot="1" x14ac:dyDescent="0.35">
      <c r="A9" s="331" t="s">
        <v>17</v>
      </c>
      <c r="B9" s="331"/>
      <c r="F9" s="4"/>
      <c r="G9" s="4"/>
      <c r="H9" s="4"/>
      <c r="I9" s="4"/>
      <c r="R9" s="74"/>
      <c r="S9" s="74" t="str">
        <f t="shared" ca="1" si="0"/>
        <v/>
      </c>
      <c r="T9" s="174" t="str">
        <f>LineBreak</f>
        <v xml:space="preserve"> 
</v>
      </c>
      <c r="U9" s="94" t="b">
        <f ca="1">OR(U6,U7,U8)</f>
        <v>1</v>
      </c>
      <c r="V9" s="92" t="str">
        <f t="shared" ca="1" si="2"/>
        <v xml:space="preserve"> 
</v>
      </c>
      <c r="W9" s="93" t="s">
        <v>15</v>
      </c>
    </row>
    <row r="10" spans="1:23" ht="16.5" customHeight="1" x14ac:dyDescent="0.3">
      <c r="A10" s="46" t="s">
        <v>18</v>
      </c>
      <c r="B10" s="27"/>
      <c r="C10" s="1" t="str">
        <f>IF(ISBLANK($C$6),"","Field needs to be completed")</f>
        <v/>
      </c>
      <c r="D10" s="4"/>
      <c r="E10" s="4"/>
      <c r="F10" s="4"/>
      <c r="G10" s="4"/>
      <c r="H10" s="4"/>
      <c r="I10" s="4"/>
      <c r="R10" s="126" t="str">
        <f>ADDRESS(ROW(B10),COLUMN(B10),4)</f>
        <v>B10</v>
      </c>
      <c r="S10" s="74">
        <f ca="1">IF( ISERROR(IF(OR(INDIRECT(R10)=0,INDIRECT(R10)=""),1,0)),"",IF(OR(INDIRECT(R10)=0,INDIRECT(R10)=""),1,0))</f>
        <v>1</v>
      </c>
      <c r="T10" s="77" t="str">
        <f>LineBreak&amp;Indent&amp;"Name,"</f>
        <v xml:space="preserve"> 
                 Name,</v>
      </c>
      <c r="U10" s="94" t="b">
        <f t="shared" ref="U10:U14" ca="1" si="3">S10=1</f>
        <v>1</v>
      </c>
      <c r="V10" s="92" t="str">
        <f t="shared" ca="1" si="2"/>
        <v xml:space="preserve"> 
                 Name,  (B10)  - </v>
      </c>
      <c r="W10" s="93" t="s">
        <v>15</v>
      </c>
    </row>
    <row r="11" spans="1:23" ht="16.5" customHeight="1" x14ac:dyDescent="0.3">
      <c r="A11" s="47" t="s">
        <v>19</v>
      </c>
      <c r="B11" s="28"/>
      <c r="C11" s="1" t="str">
        <f>IF(ISBLANK($C$6),"","Field needs to be completed")</f>
        <v/>
      </c>
      <c r="D11" s="4"/>
      <c r="E11" s="4"/>
      <c r="F11" s="4"/>
      <c r="G11" s="4"/>
      <c r="H11" s="4"/>
      <c r="I11" s="4"/>
      <c r="R11" s="126" t="str">
        <f>ADDRESS(ROW(B11),COLUMN(B11),4)</f>
        <v>B11</v>
      </c>
      <c r="S11" s="74">
        <f t="shared" ca="1" si="0"/>
        <v>1</v>
      </c>
      <c r="T11" s="77" t="str">
        <f>LineBreak&amp;Indent&amp;"Position, "</f>
        <v xml:space="preserve"> 
                 Position, </v>
      </c>
      <c r="U11" s="94" t="b">
        <f t="shared" ca="1" si="3"/>
        <v>1</v>
      </c>
      <c r="V11" s="92" t="str">
        <f t="shared" ca="1" si="2"/>
        <v xml:space="preserve"> 
                 Position,   (B11)  - </v>
      </c>
      <c r="W11" s="93" t="s">
        <v>15</v>
      </c>
    </row>
    <row r="12" spans="1:23" ht="16.5" customHeight="1" x14ac:dyDescent="0.3">
      <c r="A12" s="47" t="s">
        <v>20</v>
      </c>
      <c r="B12" s="60"/>
      <c r="D12" s="4"/>
      <c r="E12" s="4"/>
      <c r="F12" s="4"/>
      <c r="G12" s="4"/>
      <c r="H12" s="4"/>
      <c r="I12" s="4"/>
      <c r="R12" s="126" t="str">
        <f>ADDRESS(ROW(B12),COLUMN(B12),4)</f>
        <v>B12</v>
      </c>
      <c r="S12" s="74">
        <f t="shared" ca="1" si="0"/>
        <v>1</v>
      </c>
      <c r="T12" s="77" t="str">
        <f>LineBreak&amp;Indent&amp;"E-mail,"</f>
        <v xml:space="preserve"> 
                 E-mail,</v>
      </c>
      <c r="U12" s="94" t="b">
        <f t="shared" ca="1" si="3"/>
        <v>1</v>
      </c>
      <c r="V12" s="92" t="str">
        <f t="shared" ca="1" si="2"/>
        <v xml:space="preserve"> 
                 E-mail,  (B12)  - </v>
      </c>
      <c r="W12" s="93" t="s">
        <v>15</v>
      </c>
    </row>
    <row r="13" spans="1:23" ht="16.5" customHeight="1" x14ac:dyDescent="0.3">
      <c r="A13" s="47" t="s">
        <v>21</v>
      </c>
      <c r="B13" s="28"/>
      <c r="C13" s="1" t="str">
        <f>IF(ISBLANK($C$6),"","Field needs to be completed")</f>
        <v/>
      </c>
      <c r="D13" s="4"/>
      <c r="E13" s="4"/>
      <c r="F13" s="4"/>
      <c r="G13" s="4"/>
      <c r="H13" s="4"/>
      <c r="I13" s="4"/>
      <c r="R13" s="126" t="str">
        <f>ADDRESS(ROW(B13),COLUMN(B13),4)</f>
        <v>B13</v>
      </c>
      <c r="S13" s="74">
        <f t="shared" ca="1" si="0"/>
        <v>1</v>
      </c>
      <c r="T13" s="77" t="str">
        <f>LineBreak&amp;Indent&amp;"Tel. No., "</f>
        <v xml:space="preserve"> 
                 Tel. No., </v>
      </c>
      <c r="U13" s="94" t="b">
        <f t="shared" ca="1" si="3"/>
        <v>1</v>
      </c>
      <c r="V13" s="92" t="str">
        <f t="shared" ca="1" si="2"/>
        <v xml:space="preserve"> 
                 Tel. No.,   (B13)  - </v>
      </c>
      <c r="W13" s="93" t="s">
        <v>15</v>
      </c>
    </row>
    <row r="14" spans="1:23" ht="24" customHeight="1" thickBot="1" x14ac:dyDescent="0.35">
      <c r="A14" s="48" t="s">
        <v>22</v>
      </c>
      <c r="B14" s="29"/>
      <c r="C14" s="1" t="str">
        <f>IF(ISBLANK($C$6),"","Field needs to be completed")</f>
        <v/>
      </c>
      <c r="D14" s="4"/>
      <c r="E14" s="4"/>
      <c r="F14" s="4"/>
      <c r="G14" s="4"/>
      <c r="H14" s="4"/>
      <c r="I14" s="4"/>
      <c r="R14" s="126" t="str">
        <f>ADDRESS(ROW(B14),COLUMN(B14),4)</f>
        <v>B14</v>
      </c>
      <c r="S14" s="74">
        <f t="shared" ca="1" si="0"/>
        <v>1</v>
      </c>
      <c r="T14" s="77" t="str">
        <f>LineBreak&amp;Indent&amp;"Date completed"</f>
        <v xml:space="preserve"> 
                 Date completed</v>
      </c>
      <c r="U14" s="94" t="b">
        <f t="shared" ca="1" si="3"/>
        <v>1</v>
      </c>
      <c r="V14" s="92" t="str">
        <f t="shared" ca="1" si="2"/>
        <v xml:space="preserve"> 
                 Date completed  (B14)  - </v>
      </c>
      <c r="W14" s="93" t="s">
        <v>15</v>
      </c>
    </row>
    <row r="15" spans="1:23" ht="14.4" customHeight="1" thickBot="1" x14ac:dyDescent="0.35">
      <c r="A15" s="6"/>
      <c r="B15" s="322"/>
      <c r="C15" s="322"/>
      <c r="D15" s="222"/>
      <c r="E15" s="7"/>
      <c r="F15" s="185"/>
      <c r="H15" s="5"/>
      <c r="R15" s="74"/>
      <c r="S15" s="74" t="str">
        <f t="shared" ca="1" si="0"/>
        <v/>
      </c>
      <c r="T15" s="77" t="str">
        <f>Indent &amp; Indent&amp;"Service Details ALL COMPLETED"</f>
        <v xml:space="preserve">                                  Service Details ALL COMPLETED</v>
      </c>
      <c r="U15" s="95" t="b">
        <f ca="1">OR(U17,U18,U19)</f>
        <v>1</v>
      </c>
      <c r="V15" s="92" t="str">
        <f t="shared" ca="1" si="2"/>
        <v xml:space="preserve">                                  Service Details ALL COMPLETED</v>
      </c>
      <c r="W15" s="93"/>
    </row>
    <row r="16" spans="1:23" s="5" customFormat="1" ht="12.75" customHeight="1" x14ac:dyDescent="0.3">
      <c r="A16" s="277" t="s">
        <v>23</v>
      </c>
      <c r="B16" s="277"/>
      <c r="C16" s="335"/>
      <c r="D16" s="324" t="s">
        <v>24</v>
      </c>
      <c r="E16" s="326"/>
      <c r="F16" s="323"/>
      <c r="G16" s="324" t="s">
        <v>25</v>
      </c>
      <c r="H16" s="325"/>
      <c r="I16" s="325"/>
      <c r="J16" s="326"/>
      <c r="K16" s="1"/>
      <c r="L16" s="1"/>
      <c r="M16" s="1"/>
      <c r="N16" s="1"/>
      <c r="O16" s="1"/>
      <c r="R16" s="74"/>
      <c r="S16" s="74" t="str">
        <f t="shared" ca="1" si="0"/>
        <v/>
      </c>
      <c r="T16" s="90" t="str">
        <f>LineBreak &amp;LineBreak &amp;"ORGANISATION SERVED CHECKLIST:"&amp;LineBreak</f>
        <v xml:space="preserve"> 
ORGANISATION SERVED CHECKLIST: 
</v>
      </c>
      <c r="U16" s="95" t="b">
        <v>1</v>
      </c>
      <c r="V16" s="92" t="str">
        <f xml:space="preserve"> IF(U16,T16&amp;IF(W16&lt;&gt;"",IF(R16&lt;&gt;"", "  ("&amp;R16&amp;")  - ",""),""),"")</f>
        <v xml:space="preserve"> 
ORGANISATION SERVED CHECKLIST: 
</v>
      </c>
      <c r="W16" s="93"/>
    </row>
    <row r="17" spans="1:23" s="5" customFormat="1" ht="19.95" customHeight="1" thickBot="1" x14ac:dyDescent="0.35">
      <c r="A17" s="336" t="s">
        <v>26</v>
      </c>
      <c r="B17" s="336"/>
      <c r="C17" s="337"/>
      <c r="D17" s="341"/>
      <c r="E17" s="342"/>
      <c r="F17" s="323"/>
      <c r="G17" s="327"/>
      <c r="H17" s="328"/>
      <c r="I17" s="328"/>
      <c r="J17" s="329"/>
      <c r="K17" s="1"/>
      <c r="L17" s="1"/>
      <c r="M17" s="81" t="s">
        <v>27</v>
      </c>
      <c r="N17" s="1"/>
      <c r="O17" s="1"/>
      <c r="Q17" s="80" t="s">
        <v>28</v>
      </c>
      <c r="R17" s="74" t="s">
        <v>29</v>
      </c>
      <c r="S17" s="74" t="str">
        <f t="shared" ca="1" si="0"/>
        <v/>
      </c>
      <c r="T17" s="77" t="str">
        <f>LineBreak &amp; Indent&amp;"Please add at least one organisation"</f>
        <v xml:space="preserve"> 
                 Please add at least one organisation</v>
      </c>
      <c r="U17" s="94" t="b">
        <f ca="1">T21=0</f>
        <v>1</v>
      </c>
      <c r="V17" s="92" t="str">
        <f t="shared" ca="1" si="2"/>
        <v xml:space="preserve"> 
                 Please add at least one organisation  (From B18)  - </v>
      </c>
      <c r="W17" s="93" t="s">
        <v>15</v>
      </c>
    </row>
    <row r="18" spans="1:23" ht="13.5" customHeight="1" x14ac:dyDescent="0.3">
      <c r="A18" s="49" t="s">
        <v>30</v>
      </c>
      <c r="B18" s="315"/>
      <c r="C18" s="316"/>
      <c r="D18" s="280"/>
      <c r="E18" s="282"/>
      <c r="F18" s="58" t="s">
        <v>30</v>
      </c>
      <c r="G18" s="280"/>
      <c r="H18" s="281"/>
      <c r="I18" s="281"/>
      <c r="J18" s="282"/>
      <c r="M18" s="82">
        <f t="shared" ref="M18:M32" si="4">IF(AND(LEFT(D18,5)&lt;&gt;"other",LEN(G18)=0),0,
IF(AND(LEFT(D18,5)="other",LEN(G18)&gt;1),1,
IF(AND(LEFT(D18,5)="other",LEN(G18)=0),2,
IF(AND(LEFT(D18,5)&lt;&gt;"other",LEN(G18)&gt;1),3,""))))</f>
        <v>0</v>
      </c>
      <c r="O18" s="126" t="str">
        <f t="shared" ref="O18:O32" si="5">ADDRESS(ROW(B18),COLUMN(B18),4)</f>
        <v>B18</v>
      </c>
      <c r="P18" s="74">
        <f t="shared" ref="P18:P32" ca="1" si="6">IF( ISERROR(IF(OR(INDIRECT(O18)=0,INDIRECT(O18)=""),1,0)),"",IF(OR(INDIRECT(O18)=0,INDIRECT(O18)=""),1,0))</f>
        <v>1</v>
      </c>
      <c r="Q18" s="185">
        <f t="shared" ref="Q18:Q32" ca="1" si="7">IF(AND(P18=1,S18=1),0,
IF(AND(P18=0,S18=0),1,
IF(AND(P18=1,S18=0),2,
IF(AND(P18=0,S18=1),3))))</f>
        <v>0</v>
      </c>
      <c r="R18" s="126" t="str">
        <f>ADDRESS(ROW(D18),COLUMN(D18),4)</f>
        <v>D18</v>
      </c>
      <c r="S18" s="74">
        <f t="shared" ca="1" si="0"/>
        <v>1</v>
      </c>
      <c r="T18" s="77" t="str">
        <f ca="1">"                                  --You only serve "&amp;T21&amp;" organisation"&amp;IF(T21&gt;1,"s","") &amp;"?"</f>
        <v xml:space="preserve">                                  --You only serve 0 organisation?</v>
      </c>
      <c r="U18" s="94" t="b">
        <f ca="1">IF(T21=0,FALSE,
IF(T21&lt;3,TRUE,FALSE))</f>
        <v>0</v>
      </c>
      <c r="V18" s="92" t="str">
        <f t="shared" ca="1" si="2"/>
        <v/>
      </c>
      <c r="W18" s="93" t="s">
        <v>15</v>
      </c>
    </row>
    <row r="19" spans="1:23" x14ac:dyDescent="0.3">
      <c r="A19" s="49" t="s">
        <v>31</v>
      </c>
      <c r="B19" s="278"/>
      <c r="C19" s="279"/>
      <c r="D19" s="274"/>
      <c r="E19" s="276"/>
      <c r="F19" s="59" t="s">
        <v>31</v>
      </c>
      <c r="G19" s="274"/>
      <c r="H19" s="275"/>
      <c r="I19" s="275"/>
      <c r="J19" s="276"/>
      <c r="M19" s="82">
        <f t="shared" si="4"/>
        <v>0</v>
      </c>
      <c r="O19" s="126" t="str">
        <f t="shared" si="5"/>
        <v>B19</v>
      </c>
      <c r="P19" s="74">
        <f t="shared" ca="1" si="6"/>
        <v>1</v>
      </c>
      <c r="Q19" s="185">
        <f t="shared" ca="1" si="7"/>
        <v>0</v>
      </c>
      <c r="R19" s="126" t="str">
        <f t="shared" ref="R19:R32" si="8">ADDRESS(ROW(D19),COLUMN(D19),4)</f>
        <v>D19</v>
      </c>
      <c r="S19" s="74">
        <f t="shared" ca="1" si="0"/>
        <v>1</v>
      </c>
      <c r="T19" s="77" t="str">
        <f ca="1">LineBreak &amp;Indent&amp;" You have recorded  "&amp;T21&amp; " named organisation"&amp; IF(T21&gt;1,"s","") &amp;" "</f>
        <v xml:space="preserve"> 
                  You have recorded  0 named organisation </v>
      </c>
      <c r="U19" s="94" t="b">
        <f ca="1">IF(T21="",FALSE,
IF(T21&gt;2,TRUE,FALSE))</f>
        <v>0</v>
      </c>
      <c r="V19" s="92" t="str">
        <f t="shared" ca="1" si="2"/>
        <v/>
      </c>
      <c r="W19" s="93" t="s">
        <v>15</v>
      </c>
    </row>
    <row r="20" spans="1:23" x14ac:dyDescent="0.3">
      <c r="A20" s="49" t="s">
        <v>32</v>
      </c>
      <c r="B20" s="283"/>
      <c r="C20" s="279"/>
      <c r="D20" s="274"/>
      <c r="E20" s="276"/>
      <c r="F20" s="59" t="s">
        <v>32</v>
      </c>
      <c r="G20" s="274"/>
      <c r="H20" s="275"/>
      <c r="I20" s="275"/>
      <c r="J20" s="276"/>
      <c r="M20" s="82">
        <f t="shared" si="4"/>
        <v>0</v>
      </c>
      <c r="O20" s="126" t="str">
        <f t="shared" si="5"/>
        <v>B20</v>
      </c>
      <c r="P20" s="74">
        <f t="shared" ca="1" si="6"/>
        <v>1</v>
      </c>
      <c r="Q20" s="185">
        <f t="shared" ca="1" si="7"/>
        <v>0</v>
      </c>
      <c r="R20" s="126" t="str">
        <f t="shared" si="8"/>
        <v>D20</v>
      </c>
      <c r="S20" s="74">
        <f t="shared" ca="1" si="0"/>
        <v>1</v>
      </c>
      <c r="T20" s="77"/>
      <c r="U20" s="74"/>
      <c r="V20" s="92" t="str">
        <f t="shared" si="2"/>
        <v/>
      </c>
      <c r="W20" s="93"/>
    </row>
    <row r="21" spans="1:23" x14ac:dyDescent="0.3">
      <c r="A21" s="49" t="s">
        <v>33</v>
      </c>
      <c r="B21" s="278"/>
      <c r="C21" s="279"/>
      <c r="D21" s="274"/>
      <c r="E21" s="276"/>
      <c r="F21" s="59" t="s">
        <v>33</v>
      </c>
      <c r="G21" s="274"/>
      <c r="H21" s="275"/>
      <c r="I21" s="275"/>
      <c r="J21" s="276"/>
      <c r="M21" s="82">
        <f t="shared" si="4"/>
        <v>0</v>
      </c>
      <c r="O21" s="126" t="str">
        <f t="shared" si="5"/>
        <v>B21</v>
      </c>
      <c r="P21" s="74">
        <f t="shared" ca="1" si="6"/>
        <v>1</v>
      </c>
      <c r="Q21" s="185">
        <f t="shared" ca="1" si="7"/>
        <v>0</v>
      </c>
      <c r="R21" s="126" t="str">
        <f t="shared" si="8"/>
        <v>D21</v>
      </c>
      <c r="S21" s="74">
        <f t="shared" ca="1" si="0"/>
        <v>1</v>
      </c>
      <c r="T21" s="96">
        <f ca="1">COUNTIF(P18:P32,"=0")</f>
        <v>0</v>
      </c>
      <c r="U21" s="74"/>
      <c r="V21" s="92" t="str">
        <f t="shared" si="2"/>
        <v/>
      </c>
      <c r="W21" s="93"/>
    </row>
    <row r="22" spans="1:23" x14ac:dyDescent="0.3">
      <c r="A22" s="49" t="s">
        <v>34</v>
      </c>
      <c r="B22" s="278"/>
      <c r="C22" s="279"/>
      <c r="D22" s="274"/>
      <c r="E22" s="276"/>
      <c r="F22" s="59" t="s">
        <v>34</v>
      </c>
      <c r="G22" s="274"/>
      <c r="H22" s="275"/>
      <c r="I22" s="275"/>
      <c r="J22" s="276"/>
      <c r="M22" s="82">
        <f t="shared" si="4"/>
        <v>0</v>
      </c>
      <c r="O22" s="126" t="str">
        <f t="shared" si="5"/>
        <v>B22</v>
      </c>
      <c r="P22" s="74">
        <f t="shared" ca="1" si="6"/>
        <v>1</v>
      </c>
      <c r="Q22" s="185">
        <f t="shared" ca="1" si="7"/>
        <v>0</v>
      </c>
      <c r="R22" s="126" t="str">
        <f t="shared" si="8"/>
        <v>D22</v>
      </c>
      <c r="S22" s="74">
        <f t="shared" ca="1" si="0"/>
        <v>1</v>
      </c>
      <c r="T22" s="97">
        <f ca="1">COUNTIF(S18:S32,"=0")</f>
        <v>0</v>
      </c>
      <c r="U22" s="74"/>
      <c r="V22" s="92" t="str">
        <f t="shared" si="2"/>
        <v/>
      </c>
      <c r="W22" s="93"/>
    </row>
    <row r="23" spans="1:23" x14ac:dyDescent="0.3">
      <c r="A23" s="49" t="s">
        <v>35</v>
      </c>
      <c r="B23" s="278"/>
      <c r="C23" s="279"/>
      <c r="D23" s="274"/>
      <c r="E23" s="276"/>
      <c r="F23" s="59" t="s">
        <v>35</v>
      </c>
      <c r="G23" s="274"/>
      <c r="H23" s="275"/>
      <c r="I23" s="275"/>
      <c r="J23" s="276"/>
      <c r="M23" s="82">
        <f t="shared" si="4"/>
        <v>0</v>
      </c>
      <c r="O23" s="126" t="str">
        <f t="shared" si="5"/>
        <v>B23</v>
      </c>
      <c r="P23" s="74">
        <f t="shared" ca="1" si="6"/>
        <v>1</v>
      </c>
      <c r="Q23" s="185">
        <f t="shared" ca="1" si="7"/>
        <v>0</v>
      </c>
      <c r="R23" s="126" t="str">
        <f t="shared" si="8"/>
        <v>D23</v>
      </c>
      <c r="S23" s="74">
        <f t="shared" ca="1" si="0"/>
        <v>1</v>
      </c>
      <c r="T23" s="77" t="str">
        <f ca="1">LineBreak &amp;Indent&amp; COUNTIF(LstCompletion,"=1")&amp;" Organisation"&amp; IF(COUNTIF(LstCompletion,"=1")&gt;1,"s","")&amp; " correctly recorded"</f>
        <v xml:space="preserve"> 
                 0 Organisation correctly recorded</v>
      </c>
      <c r="U23" s="94" t="b">
        <f ca="1">AND(COUNTIF(LstCompletion,"=1")&gt;0,OR(COUNTIF(LstCompletion,"=2")&gt;0,COUNTIF(LstCompletion,"=3")&gt;0))</f>
        <v>0</v>
      </c>
      <c r="V23" s="92" t="str">
        <f t="shared" ca="1" si="2"/>
        <v/>
      </c>
      <c r="W23" s="93"/>
    </row>
    <row r="24" spans="1:23" x14ac:dyDescent="0.3">
      <c r="A24" s="49" t="s">
        <v>36</v>
      </c>
      <c r="B24" s="278"/>
      <c r="C24" s="279"/>
      <c r="D24" s="274"/>
      <c r="E24" s="276"/>
      <c r="F24" s="59" t="s">
        <v>36</v>
      </c>
      <c r="G24" s="274"/>
      <c r="H24" s="275"/>
      <c r="I24" s="275"/>
      <c r="J24" s="276"/>
      <c r="M24" s="82">
        <f t="shared" si="4"/>
        <v>0</v>
      </c>
      <c r="O24" s="126" t="str">
        <f t="shared" si="5"/>
        <v>B24</v>
      </c>
      <c r="P24" s="74">
        <f t="shared" ca="1" si="6"/>
        <v>1</v>
      </c>
      <c r="Q24" s="185">
        <f t="shared" ca="1" si="7"/>
        <v>0</v>
      </c>
      <c r="R24" s="126" t="str">
        <f t="shared" si="8"/>
        <v>D24</v>
      </c>
      <c r="S24" s="74">
        <f t="shared" ca="1" si="0"/>
        <v>1</v>
      </c>
      <c r="T24" s="77" t="str">
        <f ca="1">LineBreak &amp;Indent&amp;"Please correct  "&amp;COUNTIF(LstCompletion,"=2")&amp;" recorded 'Type"&amp; IF(COUNTIF(LstCompletion,"=2")&gt;1,"s","")&amp; " of Service' missing an 'Organisation Name' "</f>
        <v xml:space="preserve"> 
                 Please correct  0 recorded 'Type of Service' missing an 'Organisation Name' </v>
      </c>
      <c r="U24" s="94" t="b">
        <f ca="1">COUNTIF(LstCompletion,"=2")&gt;0</f>
        <v>0</v>
      </c>
      <c r="V24" s="92" t="str">
        <f t="shared" ca="1" si="2"/>
        <v/>
      </c>
      <c r="W24" s="93"/>
    </row>
    <row r="25" spans="1:23" x14ac:dyDescent="0.3">
      <c r="A25" s="49" t="s">
        <v>37</v>
      </c>
      <c r="B25" s="278"/>
      <c r="C25" s="279"/>
      <c r="D25" s="274"/>
      <c r="E25" s="276"/>
      <c r="F25" s="59" t="s">
        <v>37</v>
      </c>
      <c r="G25" s="274"/>
      <c r="H25" s="275"/>
      <c r="I25" s="275"/>
      <c r="J25" s="276"/>
      <c r="M25" s="82">
        <f t="shared" si="4"/>
        <v>0</v>
      </c>
      <c r="O25" s="126" t="str">
        <f t="shared" si="5"/>
        <v>B25</v>
      </c>
      <c r="P25" s="74">
        <f t="shared" ca="1" si="6"/>
        <v>1</v>
      </c>
      <c r="Q25" s="185">
        <f t="shared" ca="1" si="7"/>
        <v>0</v>
      </c>
      <c r="R25" s="126" t="str">
        <f t="shared" si="8"/>
        <v>D25</v>
      </c>
      <c r="S25" s="74">
        <f t="shared" ca="1" si="0"/>
        <v>1</v>
      </c>
      <c r="T25" s="77" t="str">
        <f ca="1">LineBreak &amp;Indent&amp;"Please correct  "&amp;COUNTIF(LstCompletion,"=3")&amp;" recorded 'Organisation"&amp; IF(COUNTIF(LstCompletion,"=3")&gt;1,"s","")&amp; "' missing an 'Type of Service' "</f>
        <v xml:space="preserve"> 
                 Please correct  0 recorded 'Organisation' missing an 'Type of Service' </v>
      </c>
      <c r="U25" s="94" t="b">
        <f ca="1">COUNTIF(LstCompletion,"=3")&gt;0</f>
        <v>0</v>
      </c>
      <c r="V25" s="92" t="str">
        <f t="shared" ca="1" si="2"/>
        <v/>
      </c>
      <c r="W25" s="93"/>
    </row>
    <row r="26" spans="1:23" x14ac:dyDescent="0.3">
      <c r="A26" s="49" t="s">
        <v>38</v>
      </c>
      <c r="B26" s="278"/>
      <c r="C26" s="279"/>
      <c r="D26" s="274"/>
      <c r="E26" s="276"/>
      <c r="F26" s="59" t="s">
        <v>38</v>
      </c>
      <c r="G26" s="274"/>
      <c r="H26" s="275"/>
      <c r="I26" s="275"/>
      <c r="J26" s="276"/>
      <c r="M26" s="82">
        <f t="shared" si="4"/>
        <v>0</v>
      </c>
      <c r="O26" s="126" t="str">
        <f t="shared" si="5"/>
        <v>B26</v>
      </c>
      <c r="P26" s="74">
        <f t="shared" ca="1" si="6"/>
        <v>1</v>
      </c>
      <c r="Q26" s="185">
        <f t="shared" ca="1" si="7"/>
        <v>0</v>
      </c>
      <c r="R26" s="126" t="str">
        <f t="shared" si="8"/>
        <v>D26</v>
      </c>
      <c r="S26" s="74">
        <f t="shared" ca="1" si="0"/>
        <v>1</v>
      </c>
      <c r="T26" s="77" t="str">
        <f ca="1">LineBreak &amp;Indent&amp;"All ("&amp; COUNTIF(LstCompletion,"=1")&amp; ") Service"&amp;IF(COUNTIF(LstCompletion,"=1")&gt;1,"s","")&amp;" correctly recorded with a category type"</f>
        <v xml:space="preserve"> 
                 All (0) Service correctly recorded with a category type</v>
      </c>
      <c r="U26" s="94" t="b">
        <f ca="1">AND(COUNTIF(LstCompletion,"=1")&gt;0,COUNTIF(LstCompletion,"=2")=0,COUNTIF(LstCompletion,"=3")=0)</f>
        <v>0</v>
      </c>
      <c r="V26" s="92" t="str">
        <f t="shared" ca="1" si="2"/>
        <v/>
      </c>
      <c r="W26" s="93"/>
    </row>
    <row r="27" spans="1:23" x14ac:dyDescent="0.3">
      <c r="A27" s="181">
        <v>10</v>
      </c>
      <c r="B27" s="278"/>
      <c r="C27" s="279"/>
      <c r="D27" s="274"/>
      <c r="E27" s="276"/>
      <c r="F27" s="59" t="s">
        <v>39</v>
      </c>
      <c r="G27" s="274"/>
      <c r="H27" s="275"/>
      <c r="I27" s="275"/>
      <c r="J27" s="276"/>
      <c r="M27" s="82">
        <f t="shared" si="4"/>
        <v>0</v>
      </c>
      <c r="O27" s="126" t="str">
        <f t="shared" si="5"/>
        <v>B27</v>
      </c>
      <c r="P27" s="74">
        <f t="shared" ca="1" si="6"/>
        <v>1</v>
      </c>
      <c r="Q27" s="185">
        <f t="shared" ca="1" si="7"/>
        <v>0</v>
      </c>
      <c r="R27" s="126" t="str">
        <f t="shared" si="8"/>
        <v>D27</v>
      </c>
      <c r="S27" s="74">
        <f t="shared" ca="1" si="0"/>
        <v>1</v>
      </c>
      <c r="T27" s="98">
        <f>COUNTA(LstOthers)-COUNTIF(LstOthers,"=0")</f>
        <v>0</v>
      </c>
      <c r="U27" s="95" t="b">
        <v>0</v>
      </c>
      <c r="V27" s="92" t="str">
        <f t="shared" si="2"/>
        <v/>
      </c>
      <c r="W27" s="93"/>
    </row>
    <row r="28" spans="1:23" ht="14.25" customHeight="1" x14ac:dyDescent="0.3">
      <c r="A28" s="49" t="s">
        <v>40</v>
      </c>
      <c r="B28" s="278"/>
      <c r="C28" s="279"/>
      <c r="D28" s="274"/>
      <c r="E28" s="276"/>
      <c r="F28" s="59" t="s">
        <v>40</v>
      </c>
      <c r="G28" s="274"/>
      <c r="H28" s="275"/>
      <c r="I28" s="275"/>
      <c r="J28" s="276"/>
      <c r="M28" s="82">
        <f t="shared" si="4"/>
        <v>0</v>
      </c>
      <c r="O28" s="126" t="str">
        <f t="shared" si="5"/>
        <v>B28</v>
      </c>
      <c r="P28" s="74">
        <f t="shared" ca="1" si="6"/>
        <v>1</v>
      </c>
      <c r="Q28" s="185">
        <f t="shared" ca="1" si="7"/>
        <v>0</v>
      </c>
      <c r="R28" s="126" t="str">
        <f t="shared" si="8"/>
        <v>D28</v>
      </c>
      <c r="S28" s="74">
        <f t="shared" ca="1" si="0"/>
        <v>1</v>
      </c>
      <c r="T28" s="99" t="str">
        <f>LineBreak &amp;Indent&amp;"'Other' Types of Service:"</f>
        <v xml:space="preserve"> 
                 'Other' Types of Service:</v>
      </c>
      <c r="U28" s="94" t="b">
        <f>T27&gt;0</f>
        <v>0</v>
      </c>
      <c r="V28" s="92" t="str">
        <f t="shared" si="2"/>
        <v/>
      </c>
      <c r="W28" s="93"/>
    </row>
    <row r="29" spans="1:23" x14ac:dyDescent="0.3">
      <c r="A29" s="49" t="s">
        <v>41</v>
      </c>
      <c r="B29" s="278"/>
      <c r="C29" s="279"/>
      <c r="D29" s="274"/>
      <c r="E29" s="276"/>
      <c r="F29" s="59" t="s">
        <v>41</v>
      </c>
      <c r="G29" s="274"/>
      <c r="H29" s="275"/>
      <c r="I29" s="275"/>
      <c r="J29" s="276"/>
      <c r="M29" s="82">
        <f t="shared" si="4"/>
        <v>0</v>
      </c>
      <c r="O29" s="126" t="str">
        <f t="shared" si="5"/>
        <v>B29</v>
      </c>
      <c r="P29" s="74">
        <f t="shared" ca="1" si="6"/>
        <v>1</v>
      </c>
      <c r="Q29" s="185">
        <f t="shared" ca="1" si="7"/>
        <v>0</v>
      </c>
      <c r="R29" s="126" t="str">
        <f t="shared" si="8"/>
        <v>D29</v>
      </c>
      <c r="S29" s="74">
        <f t="shared" ca="1" si="0"/>
        <v>1</v>
      </c>
      <c r="T29" s="77" t="str">
        <f>Indent&amp;COUNTIF(LstOthers,"=1")&amp;" 'Other Type"&amp; IF(COUNTIF(LstOthers,"=1")&gt;1,"s","")&amp; " of Service'  ha"&amp; IF(COUNTIF(LstOthers,"=1")&gt;1,"ve","s")&amp; " explanation"&amp; IF(COUNTIF(LstOthers,"=1")&gt;1,"s","")</f>
        <v xml:space="preserve">                 0 'Other Type of Service'  has explanation</v>
      </c>
      <c r="U29" s="94" t="b">
        <f>AND(COUNTIF(LstOthers,"=1")&lt;&gt;T27,COUNTIF(LstOthers,"=1")&gt;0)</f>
        <v>0</v>
      </c>
      <c r="V29" s="92" t="str">
        <f t="shared" si="2"/>
        <v/>
      </c>
      <c r="W29" s="93"/>
    </row>
    <row r="30" spans="1:23" x14ac:dyDescent="0.3">
      <c r="A30" s="49" t="s">
        <v>42</v>
      </c>
      <c r="B30" s="278"/>
      <c r="C30" s="279"/>
      <c r="D30" s="274"/>
      <c r="E30" s="276"/>
      <c r="F30" s="59" t="s">
        <v>42</v>
      </c>
      <c r="G30" s="274"/>
      <c r="H30" s="275"/>
      <c r="I30" s="275"/>
      <c r="J30" s="276"/>
      <c r="M30" s="82">
        <f t="shared" si="4"/>
        <v>0</v>
      </c>
      <c r="O30" s="126" t="str">
        <f t="shared" si="5"/>
        <v>B30</v>
      </c>
      <c r="P30" s="74">
        <f t="shared" ca="1" si="6"/>
        <v>1</v>
      </c>
      <c r="Q30" s="185">
        <f t="shared" ca="1" si="7"/>
        <v>0</v>
      </c>
      <c r="R30" s="126" t="str">
        <f t="shared" si="8"/>
        <v>D30</v>
      </c>
      <c r="S30" s="74">
        <f t="shared" ca="1" si="0"/>
        <v>1</v>
      </c>
      <c r="T30" s="77" t="str">
        <f>Indent&amp;COUNTIF(LstOthers,"=2")&amp;" 'Other Type"&amp; IF(COUNTIF(LstOthers,"=2")&gt;1,"s","")&amp; " of Service' still need"&amp; IF(COUNTIF(LstOthers,"=2")&gt;1,"","s")&amp; " an Explanation "</f>
        <v xml:space="preserve">                 0 'Other Type of Service' still needs an Explanation </v>
      </c>
      <c r="U30" s="94" t="b">
        <f>COUNTIF(LstOthers,"=2")&gt;0</f>
        <v>0</v>
      </c>
      <c r="V30" s="92" t="str">
        <f t="shared" si="2"/>
        <v/>
      </c>
      <c r="W30" s="93"/>
    </row>
    <row r="31" spans="1:23" x14ac:dyDescent="0.3">
      <c r="A31" s="49" t="s">
        <v>43</v>
      </c>
      <c r="B31" s="278"/>
      <c r="C31" s="279"/>
      <c r="D31" s="274"/>
      <c r="E31" s="276"/>
      <c r="F31" s="59" t="s">
        <v>43</v>
      </c>
      <c r="G31" s="274"/>
      <c r="H31" s="275"/>
      <c r="I31" s="275"/>
      <c r="J31" s="276"/>
      <c r="M31" s="82">
        <f t="shared" si="4"/>
        <v>0</v>
      </c>
      <c r="O31" s="126" t="str">
        <f t="shared" si="5"/>
        <v>B31</v>
      </c>
      <c r="P31" s="74">
        <f t="shared" ca="1" si="6"/>
        <v>1</v>
      </c>
      <c r="Q31" s="185">
        <f t="shared" ca="1" si="7"/>
        <v>0</v>
      </c>
      <c r="R31" s="126" t="str">
        <f t="shared" si="8"/>
        <v>D31</v>
      </c>
      <c r="S31" s="74">
        <f t="shared" ca="1" si="0"/>
        <v>1</v>
      </c>
      <c r="T31" s="77" t="str">
        <f>Indent&amp;COUNTIF(LstOthers,"=3")&amp;" explanation"&amp; IF(COUNTIF(LstOthers,"=3")&gt;1,"s","")&amp; " with no reference to an 'Other Type' of organisation "</f>
        <v xml:space="preserve">                 0 explanation with no reference to an 'Other Type' of organisation </v>
      </c>
      <c r="U31" s="94" t="b">
        <f>COUNTIF(LstOthers,"=3")&gt;0</f>
        <v>0</v>
      </c>
      <c r="V31" s="92" t="str">
        <f t="shared" si="2"/>
        <v/>
      </c>
      <c r="W31" s="93"/>
    </row>
    <row r="32" spans="1:23" ht="14.4" thickBot="1" x14ac:dyDescent="0.35">
      <c r="A32" s="49" t="s">
        <v>44</v>
      </c>
      <c r="B32" s="278"/>
      <c r="C32" s="279"/>
      <c r="D32" s="317"/>
      <c r="E32" s="318"/>
      <c r="F32" s="59" t="s">
        <v>44</v>
      </c>
      <c r="G32" s="317"/>
      <c r="H32" s="319"/>
      <c r="I32" s="319"/>
      <c r="J32" s="318"/>
      <c r="M32" s="82">
        <f t="shared" si="4"/>
        <v>0</v>
      </c>
      <c r="O32" s="126" t="str">
        <f t="shared" si="5"/>
        <v>B32</v>
      </c>
      <c r="P32" s="74">
        <f t="shared" ca="1" si="6"/>
        <v>1</v>
      </c>
      <c r="Q32" s="185">
        <f t="shared" ca="1" si="7"/>
        <v>0</v>
      </c>
      <c r="R32" s="126" t="str">
        <f t="shared" si="8"/>
        <v>D32</v>
      </c>
      <c r="S32" s="74">
        <f t="shared" ca="1" si="0"/>
        <v>1</v>
      </c>
      <c r="T32" s="77" t="str">
        <f>Indent&amp;"All ("&amp; COUNTIF(LstOthers,"=1")&amp; ") 'Other type"&amp;IF(COUNTIF(LstOthers,"=1")&gt;1,"s","")&amp;" of Service' ha"&amp;IF(COUNTIF(LstOthers,"=1")&gt;1,"ve","s an")&amp;" explanation"&amp;IF(COUNTIF(LstOthers,"=1")&gt;1,"s","")</f>
        <v xml:space="preserve">                 All (0) 'Other type of Service' has an explanation</v>
      </c>
      <c r="U32" s="100" t="b">
        <f>IF(T27=0,FALSE,
IF(COUNTIF(LstOthers,"=1")=T27,TRUE,FALSE))</f>
        <v>0</v>
      </c>
      <c r="V32" s="92" t="str">
        <f t="shared" si="2"/>
        <v/>
      </c>
      <c r="W32" s="93"/>
    </row>
    <row r="33" spans="1:23" x14ac:dyDescent="0.3">
      <c r="A33" s="6"/>
      <c r="B33" s="301"/>
      <c r="C33" s="301"/>
      <c r="D33" s="300"/>
      <c r="E33" s="300"/>
      <c r="F33" s="218"/>
      <c r="G33" s="301"/>
      <c r="H33" s="301"/>
      <c r="I33" s="301"/>
      <c r="J33" s="301"/>
      <c r="R33" s="126" t="str">
        <f>ADDRESS(ROW(E32),COLUMN(E32),4)</f>
        <v>E32</v>
      </c>
      <c r="S33" s="74">
        <f t="shared" ca="1" si="0"/>
        <v>1</v>
      </c>
      <c r="T33" s="77"/>
      <c r="U33" s="94"/>
      <c r="V33" s="92" t="str">
        <f t="shared" si="2"/>
        <v/>
      </c>
      <c r="W33" s="93" t="s">
        <v>15</v>
      </c>
    </row>
    <row r="34" spans="1:23" x14ac:dyDescent="0.3">
      <c r="A34" s="322" t="s">
        <v>45</v>
      </c>
      <c r="B34" s="322"/>
      <c r="C34" s="322"/>
      <c r="D34" s="322"/>
      <c r="E34" s="322"/>
      <c r="F34" s="322"/>
      <c r="G34" s="322"/>
      <c r="H34" s="322"/>
      <c r="I34" s="322"/>
      <c r="J34" s="322"/>
      <c r="R34" s="126" t="str">
        <f>ADDRESS(ROW(E33),COLUMN(E33),4)</f>
        <v>E33</v>
      </c>
      <c r="S34" s="74">
        <f t="shared" ca="1" si="0"/>
        <v>1</v>
      </c>
      <c r="T34" s="77"/>
      <c r="U34" s="94"/>
      <c r="V34" s="92" t="str">
        <f t="shared" si="2"/>
        <v/>
      </c>
      <c r="W34" s="93" t="s">
        <v>15</v>
      </c>
    </row>
    <row r="35" spans="1:23" x14ac:dyDescent="0.3">
      <c r="A35" s="8"/>
      <c r="B35" s="9"/>
      <c r="R35" s="126" t="str">
        <f>ADDRESS(ROW(E34),COLUMN(E34),4)</f>
        <v>E34</v>
      </c>
      <c r="S35" s="74">
        <f t="shared" ca="1" si="0"/>
        <v>1</v>
      </c>
      <c r="T35" s="77" t="str">
        <f>LineBreak</f>
        <v xml:space="preserve"> 
</v>
      </c>
      <c r="U35" s="95" t="b">
        <v>1</v>
      </c>
      <c r="V35" s="92" t="str">
        <f t="shared" si="2"/>
        <v xml:space="preserve"> 
</v>
      </c>
      <c r="W35" s="93"/>
    </row>
    <row r="36" spans="1:23" s="10" customFormat="1" ht="14.4" thickBot="1" x14ac:dyDescent="0.35">
      <c r="A36" s="220">
        <v>1</v>
      </c>
      <c r="B36" s="295" t="s">
        <v>46</v>
      </c>
      <c r="C36" s="295"/>
      <c r="D36" s="295"/>
      <c r="E36" s="11"/>
      <c r="F36" s="16"/>
      <c r="G36" s="11"/>
      <c r="H36" s="13"/>
      <c r="I36" s="5"/>
      <c r="R36" s="126" t="str">
        <f>ADDRESS(ROW(E36),COLUMN(E36),4)</f>
        <v>E36</v>
      </c>
      <c r="S36" s="74">
        <f t="shared" ca="1" si="0"/>
        <v>1</v>
      </c>
      <c r="T36" s="90" t="str">
        <f>LineBreak&amp;"Section 1: STAFF QUALIFICATIONS OF STAFF IN POST"&amp;LineBreak&amp;LineBreak</f>
        <v xml:space="preserve"> 
Section 1: STAFF QUALIFICATIONS OF STAFF IN POST 
</v>
      </c>
      <c r="U36" s="95" t="b">
        <f>TRUE</f>
        <v>1</v>
      </c>
      <c r="V36" s="92" t="str">
        <f xml:space="preserve"> IF(U36,T36&amp;IF(W36&lt;&gt;"",IF(R36&lt;&gt;"", "  ("&amp;R36&amp;")  - ",""),""),"")</f>
        <v xml:space="preserve"> 
Section 1: STAFF QUALIFICATIONS OF STAFF IN POST 
</v>
      </c>
      <c r="W36" s="93"/>
    </row>
    <row r="37" spans="1:23" s="16" customFormat="1" ht="39.75" customHeight="1" thickBot="1" x14ac:dyDescent="0.35">
      <c r="A37" s="109"/>
      <c r="B37" s="296" t="s">
        <v>440</v>
      </c>
      <c r="C37" s="296"/>
      <c r="D37" s="297"/>
      <c r="E37" s="39" t="s">
        <v>47</v>
      </c>
      <c r="F37"/>
      <c r="G37" s="39" t="s">
        <v>434</v>
      </c>
      <c r="H37"/>
      <c r="I37"/>
      <c r="R37" s="74"/>
      <c r="S37" s="74" t="str">
        <f t="shared" ca="1" si="0"/>
        <v/>
      </c>
      <c r="T37" s="78">
        <f ca="1">SUM(S39:S42)</f>
        <v>3</v>
      </c>
      <c r="U37" s="94" t="str">
        <f ca="1">IF(SUM(S38:S40)=3,Indent&amp;"Error:  No Staff qualifications entered!",Indent&amp;"Just to check:")&amp;LineBreak</f>
        <v xml:space="preserve">                 Error:  No Staff qualifications entered! 
</v>
      </c>
      <c r="V37" s="138" t="str">
        <f ca="1">U37</f>
        <v xml:space="preserve">                 Error:  No Staff qualifications entered! 
</v>
      </c>
      <c r="W37" s="93" t="s">
        <v>15</v>
      </c>
    </row>
    <row r="38" spans="1:23" s="5" customFormat="1" ht="27" customHeight="1" thickBot="1" x14ac:dyDescent="0.35">
      <c r="A38" s="218">
        <v>1.1000000000000001</v>
      </c>
      <c r="B38" s="311" t="s">
        <v>48</v>
      </c>
      <c r="C38" s="311"/>
      <c r="D38" s="311"/>
      <c r="E38" s="139">
        <v>0</v>
      </c>
      <c r="F38" s="123" t="str">
        <f>IF(ISNUMBER(E38),"","Number or '0'!")</f>
        <v/>
      </c>
      <c r="G38" s="139">
        <v>0</v>
      </c>
      <c r="H38" s="13"/>
      <c r="I38" s="15"/>
      <c r="R38" s="74" t="s">
        <v>49</v>
      </c>
      <c r="S38" s="74">
        <f ca="1">IF( ISERROR(IF(OR(INDIRECT(R38)=0,INDIRECT(R38)=""),1,0)),"",IF(OR(INDIRECT(R38)=0,INDIRECT(R38)=""),1,0))</f>
        <v>1</v>
      </c>
      <c r="T38" s="77" t="str">
        <f>LineBreak &amp;Indent&amp;"You have "&amp;IF(E41=""," '0'",E41)&amp;" WTE's altogether as of today -  This does not include any vacancies."&amp;LineBreak</f>
        <v xml:space="preserve"> 
                 You have  '0' WTE's altogether as of today -  This does not include any vacancies. 
</v>
      </c>
      <c r="U38" s="94" t="b">
        <f ca="1">IF($T$37=3,FALSE,
IF(S38=0,TRUE,FALSE))</f>
        <v>0</v>
      </c>
      <c r="V38" s="92" t="str">
        <f t="shared" ca="1" si="2"/>
        <v/>
      </c>
      <c r="W38" s="93"/>
    </row>
    <row r="39" spans="1:23" s="5" customFormat="1" ht="27" customHeight="1" thickBot="1" x14ac:dyDescent="0.35">
      <c r="A39" s="218">
        <v>1.2</v>
      </c>
      <c r="B39" s="311" t="s">
        <v>435</v>
      </c>
      <c r="C39" s="311"/>
      <c r="D39" s="312"/>
      <c r="E39" s="139">
        <v>0</v>
      </c>
      <c r="F39" s="123" t="str">
        <f t="shared" ref="F39:F40" si="9">IF(ISNUMBER(E39),"","Number or '0'!")</f>
        <v/>
      </c>
      <c r="G39" s="139">
        <v>0</v>
      </c>
      <c r="H39" s="13"/>
      <c r="I39" s="15"/>
      <c r="R39" s="126" t="str">
        <f>ADDRESS(ROW(E38),COLUMN(E38),4)</f>
        <v>E38</v>
      </c>
      <c r="S39" s="74">
        <f t="shared" ca="1" si="0"/>
        <v>1</v>
      </c>
      <c r="T39" s="77" t="str">
        <f>LineBreak &amp;Indent&amp;"No Professionally qualified staff?"</f>
        <v xml:space="preserve"> 
                 No Professionally qualified staff?</v>
      </c>
      <c r="U39" s="94" t="b">
        <f ca="1">IF($T$37=3,FALSE,
IF(S39=1,TRUE,FALSE))</f>
        <v>0</v>
      </c>
      <c r="V39" s="92" t="str">
        <f t="shared" ca="1" si="2"/>
        <v/>
      </c>
      <c r="W39" s="93" t="s">
        <v>15</v>
      </c>
    </row>
    <row r="40" spans="1:23" s="5" customFormat="1" ht="27" customHeight="1" thickBot="1" x14ac:dyDescent="0.35">
      <c r="A40" s="218">
        <v>1.3</v>
      </c>
      <c r="B40" s="294" t="s">
        <v>50</v>
      </c>
      <c r="C40" s="294"/>
      <c r="D40" s="294"/>
      <c r="E40" s="139">
        <v>0</v>
      </c>
      <c r="F40" s="123" t="str">
        <f t="shared" si="9"/>
        <v/>
      </c>
      <c r="G40" s="139">
        <v>0</v>
      </c>
      <c r="H40" s="13"/>
      <c r="I40" s="15"/>
      <c r="R40" s="126" t="str">
        <f>ADDRESS(ROW(E39),COLUMN(E39),4)</f>
        <v>E39</v>
      </c>
      <c r="S40" s="74">
        <f t="shared" ca="1" si="0"/>
        <v>1</v>
      </c>
      <c r="T40" s="77" t="str">
        <f>LineBreak &amp;Indent&amp;"No Para-professionals?"</f>
        <v xml:space="preserve"> 
                 No Para-professionals?</v>
      </c>
      <c r="U40" s="94" t="b">
        <f ca="1">IF($T$37=3,FALSE,
IF(S40=1,TRUE,FALSE))</f>
        <v>0</v>
      </c>
      <c r="V40" s="92" t="str">
        <f t="shared" ca="1" si="2"/>
        <v/>
      </c>
      <c r="W40" s="93" t="s">
        <v>15</v>
      </c>
    </row>
    <row r="41" spans="1:23" s="5" customFormat="1" ht="27" customHeight="1" thickBot="1" x14ac:dyDescent="0.35">
      <c r="A41" s="218"/>
      <c r="B41" s="219"/>
      <c r="C41" s="234"/>
      <c r="D41" s="189" t="s">
        <v>51</v>
      </c>
      <c r="E41" s="40" t="str">
        <f>IF(SUM(E38:E40)=0,"",SUM(E38:E40))</f>
        <v/>
      </c>
      <c r="F41" s="123"/>
      <c r="G41" s="40" t="str">
        <f>IF(SUM(G38:G40)=0,"",SUM(G38:G40))</f>
        <v/>
      </c>
      <c r="H41" s="13"/>
      <c r="I41" s="15"/>
      <c r="R41" s="126"/>
      <c r="S41" s="74"/>
      <c r="T41" s="77"/>
      <c r="U41" s="94"/>
      <c r="V41" s="92"/>
      <c r="W41" s="93"/>
    </row>
    <row r="42" spans="1:23" s="5" customFormat="1" ht="14.4" thickBot="1" x14ac:dyDescent="0.35">
      <c r="A42" s="218"/>
      <c r="B42" s="219"/>
      <c r="C42" s="219"/>
      <c r="D42" s="219"/>
      <c r="E42" s="125"/>
      <c r="G42" s="17"/>
      <c r="H42" s="13"/>
      <c r="I42" s="15"/>
      <c r="R42" s="126" t="str">
        <f>ADDRESS(ROW(E40),COLUMN(E40),4)</f>
        <v>E40</v>
      </c>
      <c r="S42" s="74">
        <f t="shared" ref="S42:S47" ca="1" si="10">IF( ISERROR(IF(OR(INDIRECT(R42)=0,INDIRECT(R42)=""),1,0)),"",IF(OR(INDIRECT(R42)=0,INDIRECT(R42)=""),1,0))</f>
        <v>1</v>
      </c>
      <c r="T42" s="77" t="str">
        <f>LineBreak&amp;Indent&amp; "No Unqualified staff?"</f>
        <v xml:space="preserve"> 
                 No Unqualified staff?</v>
      </c>
      <c r="U42" s="94" t="b">
        <f ca="1">IF($T$37=3,FALSE,
IF(S42=1,TRUE,FALSE))</f>
        <v>0</v>
      </c>
      <c r="V42" s="92" t="str">
        <f t="shared" ca="1" si="2"/>
        <v/>
      </c>
      <c r="W42" s="93" t="s">
        <v>15</v>
      </c>
    </row>
    <row r="43" spans="1:23" s="5" customFormat="1" ht="42" thickBot="1" x14ac:dyDescent="0.35">
      <c r="A43" s="218"/>
      <c r="B43" s="303" t="s">
        <v>52</v>
      </c>
      <c r="C43" s="303"/>
      <c r="D43" s="303"/>
      <c r="E43" s="198" t="s">
        <v>53</v>
      </c>
      <c r="G43" s="17"/>
      <c r="H43" s="13"/>
      <c r="I43" s="15"/>
      <c r="R43" s="126" t="str">
        <f>ADDRESS(ROW(B43),COLUMN(B43),4)</f>
        <v>B43</v>
      </c>
      <c r="S43" s="128">
        <f ca="1">IF(T45=0,1,0)</f>
        <v>1</v>
      </c>
      <c r="T43" s="77" t="str">
        <f>LineBreak&amp;LineBreak &amp;Indent&amp;B43&amp;LineBreak</f>
        <v xml:space="preserve"> 
                 APPRENTICES 
</v>
      </c>
      <c r="U43" s="94" t="b">
        <f ca="1">OR(INDIRECT(R44)&lt;&gt;"",SUM(S45:S47)&lt;6)</f>
        <v>1</v>
      </c>
      <c r="V43" s="92" t="str">
        <f t="shared" ca="1" si="2"/>
        <v xml:space="preserve"> 
                 APPRENTICES 
</v>
      </c>
      <c r="W43" s="93"/>
    </row>
    <row r="44" spans="1:23" s="5" customFormat="1" ht="18" customHeight="1" thickBot="1" x14ac:dyDescent="0.35">
      <c r="A44" s="116">
        <v>1.4</v>
      </c>
      <c r="B44" s="117" t="s">
        <v>421</v>
      </c>
      <c r="C44" s="117"/>
      <c r="D44" s="117"/>
      <c r="E44" s="182">
        <v>0</v>
      </c>
      <c r="F44" s="175" t="str">
        <f>IF(E44=SUM(E46:E47),"",
IF(E44&gt;SUM(E46:E47),"WTE breakdown below ( 1.5a-1.5e )  needs completing:  "&amp;E44-SUM(E46:E47)&amp;"  WTE still unaccounted for",
IF(E44&lt;SUM(E46:E47),"WTE breakdown below  ( 1.5a-1.5e )  is too high:   "&amp;SUM(E46:E47)-E44&amp;"  too many WTE","Dataerror?")))</f>
        <v/>
      </c>
      <c r="G44" s="17"/>
      <c r="H44" s="13"/>
      <c r="I44" s="15"/>
      <c r="R44" s="126" t="str">
        <f>ADDRESS(ROW(E44),COLUMN(E44),4)</f>
        <v>E44</v>
      </c>
      <c r="S44" s="74">
        <f t="shared" ca="1" si="10"/>
        <v>1</v>
      </c>
      <c r="T44" s="137" t="str">
        <f ca="1">LineBreak&amp;Indent&amp;"TOTAL  WTE Apprentices recorded =  "&amp;T45&amp;"   see"</f>
        <v xml:space="preserve"> 
                 TOTAL  WTE Apprentices recorded =  0   see</v>
      </c>
      <c r="U44" s="94" t="b">
        <f ca="1">OR(INDIRECT(R44)&lt;&gt;"",SUM(S45:S47)&lt;6)</f>
        <v>1</v>
      </c>
      <c r="V44" s="92" t="str">
        <f t="shared" ca="1" si="2"/>
        <v xml:space="preserve"> 
                 TOTAL  WTE Apprentices recorded =  0   see  (E44)  - </v>
      </c>
      <c r="W44" s="93" t="s">
        <v>15</v>
      </c>
    </row>
    <row r="45" spans="1:23" s="5" customFormat="1" ht="18" customHeight="1" x14ac:dyDescent="0.3">
      <c r="A45" s="116">
        <v>1.5</v>
      </c>
      <c r="B45" s="210" t="s">
        <v>54</v>
      </c>
      <c r="C45" s="117"/>
      <c r="D45" s="117"/>
      <c r="E45" s="183"/>
      <c r="G45" s="17"/>
      <c r="H45" s="13"/>
      <c r="I45" s="15"/>
      <c r="R45" s="126" t="str">
        <f>ADDRESS(ROW(E44),COLUMN(E44),4)</f>
        <v>E44</v>
      </c>
      <c r="S45" s="74">
        <f t="shared" ca="1" si="10"/>
        <v>1</v>
      </c>
      <c r="T45" s="127">
        <f ca="1">INDIRECT(R45)</f>
        <v>0</v>
      </c>
      <c r="U45" s="94" t="b">
        <f ca="1">U43</f>
        <v>1</v>
      </c>
      <c r="V45" s="138" t="str">
        <f ca="1">IF(U45,LineBreak&amp;LineBreak&amp;Indent&amp;"-- Types of Apprentices --"&amp;LineBreak,"")</f>
        <v xml:space="preserve"> 
                 -- Types of Apprentices -- 
</v>
      </c>
      <c r="W45" s="93"/>
    </row>
    <row r="46" spans="1:23" s="5" customFormat="1" ht="18" customHeight="1" thickBot="1" x14ac:dyDescent="0.35">
      <c r="A46" s="116" t="s">
        <v>55</v>
      </c>
      <c r="B46" s="304" t="s">
        <v>56</v>
      </c>
      <c r="C46" s="304"/>
      <c r="D46" s="305"/>
      <c r="E46" s="211">
        <v>0</v>
      </c>
      <c r="F46" s="123"/>
      <c r="G46" s="314" t="str">
        <f>"LKS Manager's explanation of 'Other'"</f>
        <v>LKS Manager's explanation of 'Other'</v>
      </c>
      <c r="H46" s="314"/>
      <c r="I46" s="314"/>
      <c r="J46" s="314"/>
      <c r="R46" s="126" t="str">
        <f>ADDRESS(ROW(E46),COLUMN(E46),4)</f>
        <v>E46</v>
      </c>
      <c r="S46" s="74">
        <f t="shared" ca="1" si="10"/>
        <v>1</v>
      </c>
      <c r="T46" s="105" t="str">
        <f ca="1">LineBreak &amp;Indent&amp;Indent&amp;TEXT(INDIRECT(R46),"0.00")&amp;"  WTE "&amp;B46&amp;" Apprentices recorded"&amp;IF(INDIRECT(R46)=0,"?",".:")</f>
        <v xml:space="preserve"> 
                                  0.00  WTE Library/information/archives assistant (level 3) Apprentices recorded?</v>
      </c>
      <c r="U46" s="165" t="b">
        <f ca="1">OR(
AND($T$45=0, SUM($S$45:$S$47) &lt;6),
AND( $T$45&lt;&gt;0,S46=0,SUM($E$46:$E$47)&lt;&gt;$E$44)
)</f>
        <v>1</v>
      </c>
      <c r="V46" s="92" t="str">
        <f t="shared" ca="1" si="2"/>
        <v xml:space="preserve"> 
                                  0.00  WTE Library/information/archives assistant (level 3) Apprentices recorded?  (E46)  - </v>
      </c>
      <c r="W46" s="93" t="s">
        <v>15</v>
      </c>
    </row>
    <row r="47" spans="1:23" s="5" customFormat="1" ht="18" customHeight="1" thickBot="1" x14ac:dyDescent="0.35">
      <c r="A47" s="115" t="s">
        <v>57</v>
      </c>
      <c r="B47" s="304" t="s">
        <v>58</v>
      </c>
      <c r="C47" s="304"/>
      <c r="D47" s="305"/>
      <c r="E47" s="212">
        <v>0</v>
      </c>
      <c r="F47" s="123" t="str">
        <f t="shared" ref="F47" si="11">IF(ISNUMBER(E47),"","Number or '0'!")</f>
        <v/>
      </c>
      <c r="G47" s="307"/>
      <c r="H47" s="307"/>
      <c r="I47" s="307"/>
      <c r="J47" s="307"/>
      <c r="R47" s="126" t="str">
        <f>ADDRESS(ROW(E47),COLUMN(E47),4)</f>
        <v>E47</v>
      </c>
      <c r="S47" s="74">
        <f t="shared" ca="1" si="10"/>
        <v>1</v>
      </c>
      <c r="T47" s="164" t="str">
        <f ca="1">LineBreak &amp;Indent&amp;Indent&amp;
IF(OFFSET(INDIRECT(R47),1,2)&lt;&gt;"",OFFSET(INDIRECT(R47),1,2),
TEXT(INDIRECT(R47),"0.00")&amp;"  WTE "&amp;B47&amp;" Apprentices recorded"&amp;IF(INDIRECT(R47)=0,"?",".:"))</f>
        <v xml:space="preserve"> 
                                  0.00  WTE Other (please add details in explanation box) Apprentices recorded?</v>
      </c>
      <c r="U47" s="167" t="b">
        <f ca="1">OR(OFFSET(INDIRECT(R47),1,2)&lt;&gt;"",
AND($T$45=0, SUM($S$45:$S$47) &lt;6),
AND( $T$45&lt;&gt;0,S47=0,SUM($E$46:$E$47)&lt;&gt;$E$44))</f>
        <v>1</v>
      </c>
      <c r="V47" s="92" t="str">
        <f t="shared" ca="1" si="2"/>
        <v xml:space="preserve"> 
                                  0.00  WTE Other (please add details in explanation box) Apprentices recorded?  (E47)  - </v>
      </c>
      <c r="W47" s="93" t="s">
        <v>15</v>
      </c>
    </row>
    <row r="48" spans="1:23" s="5" customFormat="1" ht="19.5" customHeight="1" x14ac:dyDescent="0.3">
      <c r="A48" s="115"/>
      <c r="B48" s="113"/>
      <c r="C48" s="113"/>
      <c r="D48" s="114"/>
      <c r="E48" s="235"/>
      <c r="G48" s="124" t="str">
        <f>IF(AND(E47=0,TRIM(G47)=""),"",
IF(AND(E47&gt;0,TRIM(G47)=""),"Please give details about your  "&amp; E47&amp;"  'Other'  WTE above ",
IF(AND(OR(E47=0,TRIM(E47)=""),TRIM(G47)&lt;&gt;""),"Explanation but there are no WTEs recorded in the 'Other' box: "&amp; ADDRESS(ROW(E47),COLUMN(E47),4),"")))</f>
        <v/>
      </c>
      <c r="H48" s="13"/>
      <c r="R48" s="74"/>
      <c r="S48" s="74"/>
      <c r="T48" s="77" t="str">
        <f>LineBreak&amp;Indent&amp;
IF(AND(E44=0,SUM(E46:E47)=0),
"No Apprentices Recorded",
IF(E44&gt;SUM(E46:E47),
LineBreak&amp;Indent&amp;"**Please Check**   Types of WTE Apprentice  Break-down above: " &amp;E44-SUM(E46:E47)&amp;"  WTEs missing!",
IF(E44&lt;SUM(E46:E47),
LineBreak&amp;Indent&amp;"**Please Check**  Types of WTE Apprentice  Break-down above:  " &amp;SUM(E46:E47)-E44 &amp;" too many WTEs!",
IF(E44&gt;SUM(E46:E47),
"Total apprentices WTEs match breakdown figures"," Break-down figures for types of WTE Apprentices correctly matches the Total entered"))))</f>
        <v xml:space="preserve"> 
                 No Apprentices Recorded</v>
      </c>
      <c r="U48" s="166" t="b">
        <v>1</v>
      </c>
      <c r="V48" s="92" t="str">
        <f t="shared" si="2"/>
        <v xml:space="preserve"> 
                 No Apprentices Recorded</v>
      </c>
      <c r="W48" s="93"/>
    </row>
    <row r="49" spans="1:23" s="5" customFormat="1" ht="26.25" customHeight="1" x14ac:dyDescent="0.3">
      <c r="A49" s="218"/>
      <c r="B49" s="298"/>
      <c r="C49" s="298"/>
      <c r="D49" s="299"/>
      <c r="E49" s="236"/>
      <c r="F49" s="313"/>
      <c r="G49" s="313"/>
      <c r="H49" s="313"/>
      <c r="I49" s="313"/>
      <c r="J49" s="313"/>
      <c r="K49" s="313"/>
      <c r="L49" s="313"/>
      <c r="M49" s="103"/>
      <c r="N49" s="103"/>
      <c r="O49" s="103"/>
      <c r="R49" s="126" t="str">
        <f>ADDRESS(ROW(E49),COLUMN(E49),4)</f>
        <v>E49</v>
      </c>
      <c r="S49" s="74">
        <f t="shared" ref="S49" ca="1" si="12">IF( ISERROR(IF(OR(INDIRECT(R49)=0,INDIRECT(R49)=""),1,0)),"",IF(OR(INDIRECT(R49)=0,INDIRECT(R49)=""),1,0))</f>
        <v>1</v>
      </c>
      <c r="T49" s="90" t="str">
        <f>LineBreak &amp; LineBreak &amp;" Section 2: SALARY BANDS FOR ALL STAFF + VACANCIES + SALARY SCHEMES" &amp; LineBreak</f>
        <v xml:space="preserve"> 
 Section 2: SALARY BANDS FOR ALL STAFF + VACANCIES + SALARY SCHEMES 
</v>
      </c>
      <c r="U49" s="95" t="b">
        <v>1</v>
      </c>
      <c r="V49" s="92" t="str">
        <f xml:space="preserve"> IF(U49,T49&amp;IF(W49&lt;&gt;"",IF(R49&lt;&gt;"", "  ("&amp;R49&amp;")  - ",""),""),"")</f>
        <v xml:space="preserve"> 
 Section 2: SALARY BANDS FOR ALL STAFF + VACANCIES + SALARY SCHEMES 
</v>
      </c>
      <c r="W49" s="93"/>
    </row>
    <row r="50" spans="1:23" s="5" customFormat="1" ht="13.5" customHeight="1" x14ac:dyDescent="0.3">
      <c r="A50" s="110"/>
      <c r="B50" s="310"/>
      <c r="C50" s="310"/>
      <c r="D50" s="310"/>
      <c r="E50" s="176"/>
      <c r="F50" s="61"/>
      <c r="G50" s="61"/>
      <c r="H50" s="61"/>
      <c r="I50" s="61"/>
      <c r="J50" s="62"/>
      <c r="R50" s="126"/>
      <c r="S50" s="74"/>
      <c r="T50" s="90" t="str">
        <f>LineBreak</f>
        <v xml:space="preserve"> 
</v>
      </c>
      <c r="U50" s="95" t="b">
        <v>1</v>
      </c>
      <c r="V50" s="138" t="str">
        <f xml:space="preserve"> IF(U50,T50&amp;IF(W50&lt;&gt;"",IF(R50&lt;&gt;"", "  ("&amp;R50&amp;")  - ",""),""),"")</f>
        <v xml:space="preserve"> 
</v>
      </c>
      <c r="W50" s="93"/>
    </row>
    <row r="51" spans="1:23" s="16" customFormat="1" ht="14.4" thickBot="1" x14ac:dyDescent="0.35">
      <c r="A51" s="217">
        <v>2</v>
      </c>
      <c r="B51" s="277" t="s">
        <v>59</v>
      </c>
      <c r="C51" s="277"/>
      <c r="D51" s="277"/>
      <c r="G51" s="5"/>
      <c r="H51" s="11"/>
      <c r="I51" s="5"/>
      <c r="R51" s="74"/>
      <c r="S51" s="74" t="str">
        <f ca="1">IF( ISERROR(IF(OR(INDIRECT(R51)=0,INDIRECT(R51)=""),1,0)),"",IF(OR(INDIRECT(R51)=0,INDIRECT(R51)=""),1,0))</f>
        <v/>
      </c>
      <c r="T51" s="90" t="str">
        <f>LineBreak  &amp;Indent&amp;"Pay Rates and Head Counts APPEAR CORRECT:"</f>
        <v xml:space="preserve"> 
                 Pay Rates and Head Counts APPEAR CORRECT:</v>
      </c>
      <c r="U51" s="95" t="b">
        <f ca="1">IF(OR(U53:U61),FALSE,TRUE)</f>
        <v>0</v>
      </c>
      <c r="V51" s="92" t="str">
        <f t="shared" ca="1" si="2"/>
        <v/>
      </c>
      <c r="W51" s="93" t="s">
        <v>15</v>
      </c>
    </row>
    <row r="52" spans="1:23" s="5" customFormat="1" ht="74.400000000000006" customHeight="1" thickBot="1" x14ac:dyDescent="0.35">
      <c r="B52" s="308" t="s">
        <v>60</v>
      </c>
      <c r="C52" s="308"/>
      <c r="D52" s="309"/>
      <c r="E52" s="33" t="s">
        <v>61</v>
      </c>
      <c r="F52" s="34" t="s">
        <v>418</v>
      </c>
      <c r="G52" s="34" t="s">
        <v>62</v>
      </c>
      <c r="H52" s="34" t="s">
        <v>63</v>
      </c>
      <c r="I52" s="35" t="s">
        <v>64</v>
      </c>
      <c r="R52" s="126" t="str">
        <f>ADDRESS(ROW(E62),COLUMN(E62),4)</f>
        <v>E62</v>
      </c>
      <c r="S52" s="74">
        <f t="shared" ca="1" si="0"/>
        <v>1</v>
      </c>
      <c r="T52" s="84" t="str">
        <f>IF(SUM(E53:E59)-SUM(G53:G59)=0,"",(ROUND(SUM(E53:E59)-SUM(G53:G59),2)))</f>
        <v/>
      </c>
      <c r="U52" s="74"/>
      <c r="V52" s="92" t="str">
        <f t="shared" si="2"/>
        <v/>
      </c>
      <c r="W52" s="93" t="s">
        <v>15</v>
      </c>
    </row>
    <row r="53" spans="1:23" s="5" customFormat="1" ht="20.25" customHeight="1" thickBot="1" x14ac:dyDescent="0.3">
      <c r="A53" s="218">
        <v>2.1</v>
      </c>
      <c r="B53" s="18" t="s">
        <v>65</v>
      </c>
      <c r="C53" s="241" t="s">
        <v>66</v>
      </c>
      <c r="D53" s="241"/>
      <c r="E53" s="143">
        <v>0</v>
      </c>
      <c r="F53" s="143">
        <v>0</v>
      </c>
      <c r="G53" s="144">
        <v>0</v>
      </c>
      <c r="H53" s="65">
        <v>0</v>
      </c>
      <c r="I53" s="145">
        <v>0</v>
      </c>
      <c r="J53" s="209"/>
      <c r="K53" s="186"/>
      <c r="L53" s="45"/>
      <c r="M53" s="126" t="str">
        <f>ADDRESS(ROW(E53),COLUMN(E53),4)</f>
        <v>E53</v>
      </c>
      <c r="N53" s="74">
        <f t="shared" ref="N53:N59" ca="1" si="13">IF( ISERROR(IF(OR(INDIRECT(M53)=0,INDIRECT(M53)=""),1,0)),"",IF(OR(INDIRECT(M53)=0,INDIRECT(M53)=""),1,0))</f>
        <v>1</v>
      </c>
      <c r="O53" s="126" t="str">
        <f>ADDRESS(ROW(H53),COLUMN(H53),4)</f>
        <v>H53</v>
      </c>
      <c r="P53" s="74">
        <f t="shared" ref="P53:P59" ca="1" si="14">IF( ISERROR(IF(OR(INDIRECT(O53)=0,INDIRECT(O53)=""),1,0)),"",IF(OR(INDIRECT(O53)=0,INDIRECT(O53)=""),1,0))</f>
        <v>1</v>
      </c>
      <c r="Q53" s="185">
        <f ca="1">IF(AND(N53=1,P53=1),0,
IF(AND(N53=0,P53=1),1,
IF(AND(N53=1,P53=0),2,
IF(AND(N53=0,P53=0),IF(INDIRECT(M53)&gt;INDIRECT(O53),4,3),"??"))))</f>
        <v>0</v>
      </c>
      <c r="R53" s="126" t="str">
        <f>ADDRESS(ROW(E60),COLUMN(E60),4)</f>
        <v>E60</v>
      </c>
      <c r="S53" s="74">
        <f t="shared" ca="1" si="0"/>
        <v>1</v>
      </c>
      <c r="T53" s="105" t="str">
        <f>LineBreak &amp;Indent&amp;"You still need to fill in the pay rates table ( from E56)"</f>
        <v xml:space="preserve"> 
                 You still need to fill in the pay rates table ( from E56)</v>
      </c>
      <c r="U53" s="94" t="b">
        <f ca="1">AND(S53=1,S55=1,S56=1,S57=1)</f>
        <v>1</v>
      </c>
      <c r="V53" s="92" t="str">
        <f t="shared" ca="1" si="2"/>
        <v xml:space="preserve"> 
                 You still need to fill in the pay rates table ( from E56)  (E60)  - </v>
      </c>
      <c r="W53" s="85" t="s">
        <v>15</v>
      </c>
    </row>
    <row r="54" spans="1:23" s="5" customFormat="1" ht="20.25" customHeight="1" x14ac:dyDescent="0.25">
      <c r="A54" s="218">
        <v>2.2000000000000002</v>
      </c>
      <c r="B54" s="18" t="s">
        <v>67</v>
      </c>
      <c r="C54" s="241" t="s">
        <v>68</v>
      </c>
      <c r="D54" s="306"/>
      <c r="E54" s="143">
        <v>0</v>
      </c>
      <c r="F54" s="143">
        <v>0</v>
      </c>
      <c r="G54" s="144">
        <v>0</v>
      </c>
      <c r="H54" s="65">
        <v>0</v>
      </c>
      <c r="I54" s="145">
        <v>0</v>
      </c>
      <c r="J54" s="186"/>
      <c r="K54" s="186"/>
      <c r="L54" s="45"/>
      <c r="M54" s="126"/>
      <c r="N54" s="74"/>
      <c r="O54" s="126"/>
      <c r="P54" s="74"/>
      <c r="Q54" s="185"/>
      <c r="R54" s="126"/>
      <c r="S54" s="74"/>
      <c r="T54" s="105"/>
      <c r="U54" s="94"/>
      <c r="V54" s="92"/>
      <c r="W54" s="85"/>
    </row>
    <row r="55" spans="1:23" s="5" customFormat="1" ht="20.25" customHeight="1" x14ac:dyDescent="0.25">
      <c r="A55" s="218">
        <v>2.2999999999999998</v>
      </c>
      <c r="B55" s="5" t="s">
        <v>69</v>
      </c>
      <c r="C55" s="241" t="s">
        <v>70</v>
      </c>
      <c r="D55" s="241"/>
      <c r="E55" s="146">
        <v>0</v>
      </c>
      <c r="F55" s="146">
        <v>0</v>
      </c>
      <c r="G55" s="140">
        <v>0</v>
      </c>
      <c r="H55" s="66">
        <v>0</v>
      </c>
      <c r="I55" s="147">
        <v>0</v>
      </c>
      <c r="J55" s="186"/>
      <c r="K55" s="186"/>
      <c r="L55" s="45"/>
      <c r="M55" s="126" t="str">
        <f>ADDRESS(ROW(E55),COLUMN(E55),4)</f>
        <v>E55</v>
      </c>
      <c r="N55" s="74">
        <f t="shared" ca="1" si="13"/>
        <v>1</v>
      </c>
      <c r="O55" s="126" t="str">
        <f>ADDRESS(ROW(H55),COLUMN(H55),4)</f>
        <v>H55</v>
      </c>
      <c r="P55" s="74">
        <f t="shared" ca="1" si="14"/>
        <v>1</v>
      </c>
      <c r="Q55" s="185">
        <f t="shared" ref="Q55:Q59" ca="1" si="15">IF(AND(N55=1,P55=1),0,
IF(AND(N55=0,P55=1),1,
IF(AND(N55=1,P55=0),2,
IF(AND(N55=0,P55=0),IF(INDIRECT(M55)&gt;INDIRECT(O55),4,3),"??"))))</f>
        <v>0</v>
      </c>
      <c r="R55" s="126" t="str">
        <f>ADDRESS(ROW(G60),COLUMN(G60),4)</f>
        <v>G60</v>
      </c>
      <c r="S55" s="74">
        <f t="shared" ca="1" si="0"/>
        <v>1</v>
      </c>
      <c r="T55" s="105" t="str">
        <f>LineBreak &amp;LineBreak &amp;Indent&amp;"Total in E62 too small: "</f>
        <v xml:space="preserve"> 
                 Total in E62 too small: </v>
      </c>
      <c r="U55" s="94" t="b">
        <f>IF(T52=E41,FALSE,
IF(AND(E62&gt;0,OR(E62&lt;E41,AND(S42=0,S52=1,SUM(T53)&lt;4))),
TRUE,FALSE))</f>
        <v>0</v>
      </c>
      <c r="V55" s="92" t="str">
        <f t="shared" si="2"/>
        <v/>
      </c>
      <c r="W55" s="85"/>
    </row>
    <row r="56" spans="1:23" s="5" customFormat="1" ht="20.25" customHeight="1" x14ac:dyDescent="0.25">
      <c r="A56" s="218">
        <v>2.4</v>
      </c>
      <c r="B56" s="5" t="s">
        <v>71</v>
      </c>
      <c r="C56" s="241" t="s">
        <v>72</v>
      </c>
      <c r="D56" s="241"/>
      <c r="E56" s="146">
        <v>0</v>
      </c>
      <c r="F56" s="146">
        <v>0</v>
      </c>
      <c r="G56" s="140">
        <v>0</v>
      </c>
      <c r="H56" s="66">
        <v>0</v>
      </c>
      <c r="I56" s="147">
        <v>0</v>
      </c>
      <c r="J56" s="186"/>
      <c r="K56" s="186"/>
      <c r="L56" s="45"/>
      <c r="M56" s="126" t="str">
        <f>ADDRESS(ROW(E56),COLUMN(E56),4)</f>
        <v>E56</v>
      </c>
      <c r="N56" s="74">
        <f t="shared" ca="1" si="13"/>
        <v>1</v>
      </c>
      <c r="O56" s="126" t="str">
        <f>ADDRESS(ROW(H56),COLUMN(H56),4)</f>
        <v>H56</v>
      </c>
      <c r="P56" s="74">
        <f t="shared" ca="1" si="14"/>
        <v>1</v>
      </c>
      <c r="Q56" s="185">
        <f t="shared" ca="1" si="15"/>
        <v>0</v>
      </c>
      <c r="R56" s="126" t="str">
        <f>ADDRESS(ROW(H60),COLUMN(H60),4)</f>
        <v>H60</v>
      </c>
      <c r="S56" s="74">
        <f t="shared" ca="1" si="0"/>
        <v>1</v>
      </c>
      <c r="T56" s="237" t="str">
        <f>LineBreak&amp;Indent&amp;"Total in E62 too large:"</f>
        <v xml:space="preserve"> 
                 Total in E62 too large:</v>
      </c>
      <c r="U56" s="94" t="b">
        <f>IF(T52=E41,FALSE,
IF(OR(AND(E62&gt;E41,E62&lt;&gt;""),AND(S50=1,E62="",OR(S53=0,S55=0))),
TRUE,FALSE))</f>
        <v>0</v>
      </c>
      <c r="V56" s="92" t="str">
        <f t="shared" si="2"/>
        <v/>
      </c>
      <c r="W56" s="85"/>
    </row>
    <row r="57" spans="1:23" s="5" customFormat="1" ht="20.25" customHeight="1" x14ac:dyDescent="0.25">
      <c r="A57" s="218">
        <v>2.5</v>
      </c>
      <c r="B57" s="5" t="s">
        <v>73</v>
      </c>
      <c r="C57" s="241" t="s">
        <v>74</v>
      </c>
      <c r="D57" s="241"/>
      <c r="E57" s="146">
        <v>0</v>
      </c>
      <c r="F57" s="146">
        <v>0</v>
      </c>
      <c r="G57" s="140">
        <v>0</v>
      </c>
      <c r="H57" s="66">
        <v>0</v>
      </c>
      <c r="I57" s="147">
        <v>0</v>
      </c>
      <c r="J57" s="186"/>
      <c r="K57" s="186"/>
      <c r="L57" s="45"/>
      <c r="M57" s="126" t="str">
        <f>ADDRESS(ROW(E57),COLUMN(E57),4)</f>
        <v>E57</v>
      </c>
      <c r="N57" s="74">
        <f t="shared" ca="1" si="13"/>
        <v>1</v>
      </c>
      <c r="O57" s="126" t="str">
        <f>ADDRESS(ROW(H57),COLUMN(H57),4)</f>
        <v>H57</v>
      </c>
      <c r="P57" s="74">
        <f t="shared" ca="1" si="14"/>
        <v>1</v>
      </c>
      <c r="Q57" s="185">
        <f t="shared" ca="1" si="15"/>
        <v>0</v>
      </c>
      <c r="R57" s="126" t="str">
        <f>ADDRESS(ROW(I60),COLUMN(I60),4)</f>
        <v>I60</v>
      </c>
      <c r="S57" s="74">
        <f t="shared" ca="1" si="0"/>
        <v>1</v>
      </c>
      <c r="T57" s="105" t="str">
        <f>LineBreak &amp;Indent&amp;"Total in E62 is negative:"</f>
        <v xml:space="preserve"> 
                 Total in E62 is negative:</v>
      </c>
      <c r="U57" s="101" t="b">
        <f>AND(E62&lt;0,E62&lt;&gt;"")</f>
        <v>0</v>
      </c>
      <c r="V57" s="92" t="str">
        <f t="shared" si="2"/>
        <v/>
      </c>
      <c r="W57" s="85"/>
    </row>
    <row r="58" spans="1:23" s="5" customFormat="1" ht="20.25" customHeight="1" x14ac:dyDescent="0.25">
      <c r="A58" s="218">
        <v>2.6</v>
      </c>
      <c r="B58" s="5" t="s">
        <v>75</v>
      </c>
      <c r="C58" s="241" t="s">
        <v>76</v>
      </c>
      <c r="D58" s="241"/>
      <c r="E58" s="146">
        <v>0</v>
      </c>
      <c r="F58" s="146">
        <v>0</v>
      </c>
      <c r="G58" s="140">
        <v>0</v>
      </c>
      <c r="H58" s="66">
        <v>0</v>
      </c>
      <c r="I58" s="147">
        <v>0</v>
      </c>
      <c r="J58" s="186"/>
      <c r="K58" s="186"/>
      <c r="L58" s="45"/>
      <c r="M58" s="126" t="str">
        <f>ADDRESS(ROW(E58),COLUMN(E58),4)</f>
        <v>E58</v>
      </c>
      <c r="N58" s="74">
        <f t="shared" ca="1" si="13"/>
        <v>1</v>
      </c>
      <c r="O58" s="126" t="str">
        <f>ADDRESS(ROW(H58),COLUMN(H58),4)</f>
        <v>H58</v>
      </c>
      <c r="P58" s="74">
        <f t="shared" ca="1" si="14"/>
        <v>1</v>
      </c>
      <c r="Q58" s="185">
        <f t="shared" ca="1" si="15"/>
        <v>0</v>
      </c>
      <c r="R58" s="85"/>
      <c r="S58" s="74" t="str">
        <f t="shared" ca="1" si="0"/>
        <v/>
      </c>
      <c r="T58" s="105" t="str">
        <f>Indent&amp;"Check you have the vacancy data correctly in BOTH columns a i  &amp; a ii "</f>
        <v xml:space="preserve">                 Check you have the vacancy data correctly in BOTH columns a i  &amp; a ii </v>
      </c>
      <c r="U58" s="101" t="b">
        <f>U55</f>
        <v>0</v>
      </c>
      <c r="V58" s="92" t="str">
        <f t="shared" si="2"/>
        <v/>
      </c>
      <c r="W58" s="85" t="s">
        <v>15</v>
      </c>
    </row>
    <row r="59" spans="1:23" s="5" customFormat="1" ht="20.25" customHeight="1" thickBot="1" x14ac:dyDescent="0.3">
      <c r="A59" s="218">
        <v>2.7</v>
      </c>
      <c r="B59" s="5" t="s">
        <v>77</v>
      </c>
      <c r="C59" s="241" t="s">
        <v>78</v>
      </c>
      <c r="D59" s="241"/>
      <c r="E59" s="187">
        <v>0</v>
      </c>
      <c r="F59" s="187">
        <v>0</v>
      </c>
      <c r="G59" s="155">
        <v>0</v>
      </c>
      <c r="H59" s="156">
        <v>0</v>
      </c>
      <c r="I59" s="157">
        <v>0</v>
      </c>
      <c r="J59" s="186"/>
      <c r="K59" s="186"/>
      <c r="L59" s="45"/>
      <c r="M59" s="126" t="str">
        <f>ADDRESS(ROW(E59),COLUMN(E59),4)</f>
        <v>E59</v>
      </c>
      <c r="N59" s="74">
        <f t="shared" ca="1" si="13"/>
        <v>1</v>
      </c>
      <c r="O59" s="126" t="str">
        <f>ADDRESS(ROW(H59),COLUMN(H59),4)</f>
        <v>H59</v>
      </c>
      <c r="P59" s="74">
        <f t="shared" ca="1" si="14"/>
        <v>1</v>
      </c>
      <c r="Q59" s="185">
        <f t="shared" ca="1" si="15"/>
        <v>0</v>
      </c>
      <c r="R59" s="85"/>
      <c r="S59" s="74" t="str">
        <f t="shared" ca="1" si="0"/>
        <v/>
      </c>
      <c r="T59" s="105" t="str">
        <f>Indent&amp;"You either have too many WTEs in Column (a i) not enough vacancies in Col (a ii)"</f>
        <v xml:space="preserve">                 You either have too many WTEs in Column (a i) not enough vacancies in Col (a ii)</v>
      </c>
      <c r="U59" s="101" t="b">
        <f t="shared" ref="U59:U60" si="16">U56</f>
        <v>0</v>
      </c>
      <c r="V59" s="92" t="str">
        <f t="shared" si="2"/>
        <v/>
      </c>
      <c r="W59" s="85" t="s">
        <v>15</v>
      </c>
    </row>
    <row r="60" spans="1:23" s="5" customFormat="1" ht="20.25" customHeight="1" thickBot="1" x14ac:dyDescent="0.35">
      <c r="B60" s="247" t="s">
        <v>79</v>
      </c>
      <c r="C60" s="247"/>
      <c r="D60" s="247"/>
      <c r="E60" s="199" t="str">
        <f>IF(SUM(E53:E59)=0,"",SUM(E53:E59))</f>
        <v/>
      </c>
      <c r="F60" s="199" t="str">
        <f>IF(SUM(F53:F59)=0,"",SUM(F53:F59))</f>
        <v/>
      </c>
      <c r="G60" s="200" t="str">
        <f t="shared" ref="G60:H60" si="17">IF(SUM(G53:G59)=0,"",SUM(G53:G59))</f>
        <v/>
      </c>
      <c r="H60" s="201" t="str">
        <f t="shared" si="17"/>
        <v/>
      </c>
      <c r="I60" s="201"/>
      <c r="J60" s="62"/>
      <c r="K60" s="62"/>
      <c r="R60" s="85"/>
      <c r="S60" s="74" t="str">
        <f t="shared" ca="1" si="0"/>
        <v/>
      </c>
      <c r="T60" s="83" t="str">
        <f>Indent&amp;"Total WTEs should not be zero or less! Perhaps missing data in WTE Column (a i) or too many vacancies in (a ii)
"</f>
        <v xml:space="preserve">                 Total WTEs should not be zero or less! Perhaps missing data in WTE Column (a i) or too many vacancies in (a ii)
</v>
      </c>
      <c r="U60" s="101" t="b">
        <f t="shared" si="16"/>
        <v>0</v>
      </c>
      <c r="V60" s="92" t="str">
        <f t="shared" si="2"/>
        <v/>
      </c>
      <c r="W60" s="93" t="s">
        <v>15</v>
      </c>
    </row>
    <row r="61" spans="1:23" s="5" customFormat="1" ht="14.4" thickBot="1" x14ac:dyDescent="0.35">
      <c r="B61" s="300"/>
      <c r="C61" s="300"/>
      <c r="D61" s="300"/>
      <c r="E61" s="19"/>
      <c r="F61" s="19"/>
      <c r="G61" s="19"/>
      <c r="H61" s="1"/>
      <c r="I61" s="1"/>
      <c r="Q61" s="104" t="s">
        <v>80</v>
      </c>
      <c r="R61" s="126" t="str">
        <f>ADDRESS(ROW(E63),COLUMN(E63),4)</f>
        <v>E63</v>
      </c>
      <c r="S61" s="74">
        <f t="shared" ca="1" si="0"/>
        <v>1</v>
      </c>
      <c r="T61" s="90" t="str">
        <f>LineBreak &amp;LineBreak  &amp;Indent&amp;"HEAD COUNTS need checking"&amp;LineBreak&amp;LineBreak</f>
        <v xml:space="preserve"> 
                 HEAD COUNTS need checking 
</v>
      </c>
      <c r="U61" s="95" t="b">
        <f ca="1">OR(U62:U79)</f>
        <v>1</v>
      </c>
      <c r="V61" s="92" t="str">
        <f ca="1" xml:space="preserve"> IF(U61,T61&amp;IF(W61&lt;&gt;"",IF(R61&lt;&gt;"", "  ("&amp;R61&amp;")  - ",""),""),"")</f>
        <v xml:space="preserve"> 
                 HEAD COUNTS need checking 
</v>
      </c>
      <c r="W61" s="93"/>
    </row>
    <row r="62" spans="1:23" s="5" customFormat="1" ht="21.75" customHeight="1" thickBot="1" x14ac:dyDescent="0.35">
      <c r="B62" s="247" t="s">
        <v>81</v>
      </c>
      <c r="C62" s="247"/>
      <c r="D62" s="248"/>
      <c r="E62" s="202" t="str">
        <f>IF(SUM(E53:E59)-SUM(G53:G59)=0,"",(ROUND(SUM(E53:E59)-SUM(G53:G59),2)))</f>
        <v/>
      </c>
      <c r="F62" s="239" t="str">
        <f>IF(AND(E62=0,E70=""),"",
IF(AND(E62&lt;&gt;0,E70&lt;&gt;E62)," This value should also be '"&amp;IF(OR(E62="",E62=0),0,E62)&amp;"', not '"&amp;IF(E70="",0,E70)&amp;"', to match the previous Total value of '"&amp;IF(OR(E62="",E62=0),0,E62)&amp;"' WTEs  in Section 1 (" &amp;ADDRESS(ROW(E62),COLUMN(E62),4)&amp;")",
IF(E62=E70," This correctly matches the previous Total value of '"&amp;IF(OR(E62="",E62=0),0,E62)&amp;"' WTEs in Section 1 (" &amp;ADDRESS(ROW(E41),COLUMN(E41),4)&amp;")",
" Have you completed the previous sections correctly?...Total in Section 2 should not be '0'")))</f>
        <v xml:space="preserve"> This correctly matches the previous Total value of '0' WTEs in Section 1 (E41)</v>
      </c>
      <c r="G62" s="240"/>
      <c r="H62" s="240"/>
      <c r="I62" s="240"/>
      <c r="J62" s="240"/>
      <c r="K62" s="103"/>
      <c r="L62" s="103"/>
      <c r="M62" s="126" t="str">
        <f>ADDRESS(ROW(G53),COLUMN(G53),4)</f>
        <v>G53</v>
      </c>
      <c r="N62" s="74">
        <f t="shared" ref="N62:N67" ca="1" si="18">IF( ISERROR(IF(OR(INDIRECT(M62)=0,INDIRECT(M62)=""),1,0)),"",IF(OR(INDIRECT(M62)=0,INDIRECT(M62)=""),1,0))</f>
        <v>1</v>
      </c>
      <c r="O62" s="126" t="str">
        <f>ADDRESS(ROW(I53),COLUMN(I53),4)</f>
        <v>I53</v>
      </c>
      <c r="P62" s="74">
        <f t="shared" ref="P62:P67" ca="1" si="19">IF( ISERROR(IF(OR(INDIRECT(O62)=0,INDIRECT(O62)=""),1,0)),"",IF(OR(INDIRECT(O62)=0,INDIRECT(O62)=""),1,0))</f>
        <v>1</v>
      </c>
      <c r="Q62" s="185">
        <f t="shared" ref="Q62:Q67" ca="1" si="20">IF(AND(N62=1,P62=1),0,
IF(AND(N62=0,P62=1),1,
IF(AND(N62=1,P62=0),2,
IF(AND(N62=0,P62=0),IF(INDIRECT(M62)&gt;INDIRECT(O62),4,3),"??"))))</f>
        <v>0</v>
      </c>
      <c r="R62" s="126" t="str">
        <f>ADDRESS(ROW(E63),COLUMN(E63),4)</f>
        <v>E63</v>
      </c>
      <c r="S62" s="74">
        <f t="shared" ca="1" si="0"/>
        <v>1</v>
      </c>
      <c r="T62" s="86" t="str">
        <f>IF(SUM(H53:H59)-SUM(I53:I59)=0,"",(ROUND(SUM(H53:H59)-SUM(I53:I59),2)))</f>
        <v/>
      </c>
      <c r="U62" s="74"/>
      <c r="V62" s="92" t="str">
        <f t="shared" si="2"/>
        <v/>
      </c>
      <c r="W62" s="93" t="s">
        <v>15</v>
      </c>
    </row>
    <row r="63" spans="1:23" s="5" customFormat="1" ht="21.75" customHeight="1" thickBot="1" x14ac:dyDescent="0.35">
      <c r="B63" s="247" t="s">
        <v>82</v>
      </c>
      <c r="C63" s="247"/>
      <c r="D63" s="248"/>
      <c r="E63" s="201" t="str">
        <f>IF(SUM(H53:H59)-SUM(I53:I59)=0,"",(ROUND(SUM(H53:H59)-SUM(I53:I59),2)))</f>
        <v/>
      </c>
      <c r="F63" s="242"/>
      <c r="G63" s="243"/>
      <c r="H63" s="243"/>
      <c r="I63" s="243"/>
      <c r="J63" s="243"/>
      <c r="K63" s="42"/>
      <c r="L63" s="42"/>
      <c r="M63" s="126" t="str">
        <f>ADDRESS(ROW(G55),COLUMN(G55),4)</f>
        <v>G55</v>
      </c>
      <c r="N63" s="74">
        <f ca="1">IF( ISERROR(IF(OR(INDIRECT(M63)=0,INDIRECT(M63)=""),1,0)),"",IF(OR(INDIRECT(M63)=0,INDIRECT(M63)=""),1,0))</f>
        <v>1</v>
      </c>
      <c r="O63" s="126" t="str">
        <f>ADDRESS(ROW(I55),COLUMN(I55),4)</f>
        <v>I55</v>
      </c>
      <c r="P63" s="74">
        <f t="shared" ca="1" si="19"/>
        <v>1</v>
      </c>
      <c r="Q63" s="185">
        <f t="shared" ca="1" si="20"/>
        <v>0</v>
      </c>
      <c r="R63" s="126" t="str">
        <f>ADDRESS(ROW(E63),COLUMN(E63),4)</f>
        <v>E63</v>
      </c>
      <c r="S63" s="74">
        <f ca="1">IF( ISERROR(IF(OR(INDIRECT(R63)=0,INDIRECT(R63)=""),1,0)),"",IF(OR(INDIRECT(R63)=0,INDIRECT(R63)=""),1,0))</f>
        <v>1</v>
      </c>
      <c r="T63" s="77" t="str">
        <f>Indent&amp;"No headcount data recorded"</f>
        <v xml:space="preserve">                 No headcount data recorded</v>
      </c>
      <c r="U63" s="94" t="b">
        <f ca="1">SUM(S56:S57)=2</f>
        <v>1</v>
      </c>
      <c r="V63" s="92" t="str">
        <f t="shared" ca="1" si="2"/>
        <v xml:space="preserve">                 No headcount data recorded  (E63)  - </v>
      </c>
      <c r="W63" s="93" t="s">
        <v>15</v>
      </c>
    </row>
    <row r="64" spans="1:23" s="5" customFormat="1" ht="14.4" thickBot="1" x14ac:dyDescent="0.35">
      <c r="D64" s="223"/>
      <c r="E64" s="19"/>
      <c r="F64" s="19"/>
      <c r="G64" s="19"/>
      <c r="H64" s="1"/>
      <c r="I64" s="1"/>
      <c r="M64" s="126" t="str">
        <f>ADDRESS(ROW(G56),COLUMN(G56),4)</f>
        <v>G56</v>
      </c>
      <c r="N64" s="74">
        <f t="shared" ca="1" si="18"/>
        <v>1</v>
      </c>
      <c r="O64" s="126" t="str">
        <f>ADDRESS(ROW(I56),COLUMN(I56),4)</f>
        <v>I56</v>
      </c>
      <c r="P64" s="74">
        <f t="shared" ca="1" si="19"/>
        <v>1</v>
      </c>
      <c r="Q64" s="185">
        <f t="shared" ca="1" si="20"/>
        <v>0</v>
      </c>
      <c r="R64" s="126" t="str">
        <f>ADDRESS(ROW(E63),COLUMN(E63),4)</f>
        <v>E63</v>
      </c>
      <c r="S64" s="74">
        <f t="shared" ca="1" si="0"/>
        <v>1</v>
      </c>
      <c r="T64" s="79" t="str">
        <f>Indent&amp;"Headcount Calculated Zero"</f>
        <v xml:space="preserve">                 Headcount Calculated Zero</v>
      </c>
      <c r="U64" s="94" t="b">
        <f ca="1">(AND(SUM(S56:S57)=0,H60=I60))</f>
        <v>0</v>
      </c>
      <c r="V64" s="92" t="str">
        <f t="shared" ca="1" si="2"/>
        <v/>
      </c>
      <c r="W64" s="93" t="s">
        <v>15</v>
      </c>
    </row>
    <row r="65" spans="1:23" s="5" customFormat="1" ht="42" thickBot="1" x14ac:dyDescent="0.35">
      <c r="A65" s="218">
        <v>2.8</v>
      </c>
      <c r="B65" s="294" t="s">
        <v>83</v>
      </c>
      <c r="C65" s="294"/>
      <c r="D65" s="302"/>
      <c r="E65" s="151" t="s">
        <v>47</v>
      </c>
      <c r="F65" s="26"/>
      <c r="G65" s="272"/>
      <c r="H65" s="272"/>
      <c r="I65" s="272"/>
      <c r="J65" s="272"/>
      <c r="K65" s="216"/>
      <c r="L65" s="216"/>
      <c r="M65" s="126" t="str">
        <f>ADDRESS(ROW(G57),COLUMN(G57),4)</f>
        <v>G57</v>
      </c>
      <c r="N65" s="74">
        <f t="shared" ca="1" si="18"/>
        <v>1</v>
      </c>
      <c r="O65" s="126" t="str">
        <f>ADDRESS(ROW(I57),COLUMN(I57),4)</f>
        <v>I57</v>
      </c>
      <c r="P65" s="74">
        <f t="shared" ca="1" si="19"/>
        <v>1</v>
      </c>
      <c r="Q65" s="185">
        <f t="shared" ca="1" si="20"/>
        <v>0</v>
      </c>
      <c r="R65" s="126" t="str">
        <f>ADDRESS(ROW(E63),COLUMN(E63),4)</f>
        <v>E63</v>
      </c>
      <c r="S65" s="74">
        <f t="shared" ca="1" si="0"/>
        <v>1</v>
      </c>
      <c r="T65" s="77" t="str">
        <f>Indent&amp;"Headcount negative"</f>
        <v xml:space="preserve">                 Headcount negative</v>
      </c>
      <c r="U65" s="94" t="b">
        <f ca="1">AND(E63&lt;0,E63&lt;&gt;"",SUM(S56:S57)=0)</f>
        <v>0</v>
      </c>
      <c r="V65" s="92" t="str">
        <f t="shared" ca="1" si="2"/>
        <v/>
      </c>
      <c r="W65" s="93" t="s">
        <v>15</v>
      </c>
    </row>
    <row r="66" spans="1:23" s="5" customFormat="1" ht="15" customHeight="1" x14ac:dyDescent="0.3">
      <c r="B66" s="252" t="s">
        <v>84</v>
      </c>
      <c r="C66" s="252"/>
      <c r="D66" s="253"/>
      <c r="E66" s="139">
        <v>0</v>
      </c>
      <c r="F66" s="123" t="str">
        <f>IF(ISNUMBER(E66),"","Number or 'Zero'")</f>
        <v/>
      </c>
      <c r="G66" s="273"/>
      <c r="H66" s="273"/>
      <c r="I66" s="273"/>
      <c r="J66" s="273"/>
      <c r="K66" s="153"/>
      <c r="L66" s="13"/>
      <c r="M66" s="126" t="str">
        <f>ADDRESS(ROW(G58),COLUMN(G58),4)</f>
        <v>G58</v>
      </c>
      <c r="N66" s="74">
        <f t="shared" ca="1" si="18"/>
        <v>1</v>
      </c>
      <c r="O66" s="126" t="str">
        <f>ADDRESS(ROW(I58),COLUMN(I58),4)</f>
        <v>I58</v>
      </c>
      <c r="P66" s="74">
        <f t="shared" ca="1" si="19"/>
        <v>1</v>
      </c>
      <c r="Q66" s="185">
        <f t="shared" ca="1" si="20"/>
        <v>0</v>
      </c>
      <c r="R66" s="126" t="str">
        <f>ADDRESS(ROW(H60),COLUMN(H60),4)</f>
        <v>H60</v>
      </c>
      <c r="S66" s="74">
        <f ca="1">IF( ISERROR(IF(OR(INDIRECT(R66)=0,INDIRECT(R66)=""),1,0)),"",IF(OR(INDIRECT(R66)=0,INDIRECT(R66)=""),1,0))</f>
        <v>1</v>
      </c>
      <c r="T66" s="79" t="str">
        <f>Indent&amp;"Headcount but no vacancies"</f>
        <v xml:space="preserve">                 Headcount but no vacancies</v>
      </c>
      <c r="U66" s="94" t="b">
        <f ca="1">AND(S56=0,S57=1)</f>
        <v>0</v>
      </c>
      <c r="V66" s="92" t="str">
        <f t="shared" ca="1" si="2"/>
        <v/>
      </c>
      <c r="W66" s="93" t="s">
        <v>15</v>
      </c>
    </row>
    <row r="67" spans="1:23" s="5" customFormat="1" ht="15" customHeight="1" thickBot="1" x14ac:dyDescent="0.35">
      <c r="B67" s="252" t="s">
        <v>85</v>
      </c>
      <c r="C67" s="252"/>
      <c r="D67" s="253"/>
      <c r="E67" s="141">
        <v>0</v>
      </c>
      <c r="F67" s="123" t="str">
        <f t="shared" ref="F67:F68" si="21">IF(ISNUMBER(E67),"","Number or 'Zero'")</f>
        <v/>
      </c>
      <c r="G67" s="168" t="str">
        <f>IF(AND(E69&gt;0,TRIM(G69)=""),"Please explain about the 'Other' salary scheme that "&amp;E69&amp;" WTEs are on","")</f>
        <v/>
      </c>
      <c r="H67" s="154"/>
      <c r="I67" s="154"/>
      <c r="J67" s="154"/>
      <c r="K67" s="152"/>
      <c r="L67" s="11"/>
      <c r="M67" s="126" t="str">
        <f>ADDRESS(ROW(G59),COLUMN(G59),4)</f>
        <v>G59</v>
      </c>
      <c r="N67" s="74">
        <f t="shared" ca="1" si="18"/>
        <v>1</v>
      </c>
      <c r="O67" s="126" t="str">
        <f>ADDRESS(ROW(I59),COLUMN(I59),4)</f>
        <v>I59</v>
      </c>
      <c r="P67" s="74">
        <f t="shared" ca="1" si="19"/>
        <v>1</v>
      </c>
      <c r="Q67" s="185">
        <f t="shared" ca="1" si="20"/>
        <v>0</v>
      </c>
      <c r="R67" s="126" t="str">
        <f>ADDRESS(ROW(I60),COLUMN(I60),4)</f>
        <v>I60</v>
      </c>
      <c r="S67" s="74">
        <f t="shared" ca="1" si="0"/>
        <v>1</v>
      </c>
      <c r="T67" s="77" t="str">
        <f>Indent&amp;I60 &amp; " vacancies recorded  in the total  for column 'b ii' (H62) but overall headcount total (G62) is blank"</f>
        <v xml:space="preserve">                  vacancies recorded  in the total  for column 'b ii' (H62) but overall headcount total (G62) is blank</v>
      </c>
      <c r="U67" s="94" t="b">
        <f ca="1">AND(S56=1,S57=0)</f>
        <v>0</v>
      </c>
      <c r="V67" s="92" t="str">
        <f t="shared" ca="1" si="2"/>
        <v/>
      </c>
      <c r="W67" s="93"/>
    </row>
    <row r="68" spans="1:23" s="5" customFormat="1" ht="15" customHeight="1" thickBot="1" x14ac:dyDescent="0.35">
      <c r="B68" s="252" t="s">
        <v>86</v>
      </c>
      <c r="C68" s="252"/>
      <c r="D68" s="253"/>
      <c r="E68" s="141">
        <v>0</v>
      </c>
      <c r="F68" s="123" t="str">
        <f t="shared" si="21"/>
        <v/>
      </c>
      <c r="G68" s="256" t="s">
        <v>87</v>
      </c>
      <c r="H68" s="257"/>
      <c r="I68" s="257"/>
      <c r="J68" s="258"/>
      <c r="K68" s="11"/>
      <c r="L68" s="11"/>
      <c r="M68" s="11"/>
      <c r="N68" s="11"/>
      <c r="O68" s="11"/>
      <c r="R68" s="74"/>
      <c r="S68" s="74" t="str">
        <f t="shared" ca="1" si="0"/>
        <v/>
      </c>
      <c r="T68" s="77"/>
      <c r="U68" s="94" t="b">
        <f>AND(OR(G60=0,G60=""),AND(I60&gt;0,I60&lt;&gt;""))</f>
        <v>0</v>
      </c>
      <c r="V68" s="92" t="str">
        <f t="shared" si="2"/>
        <v/>
      </c>
      <c r="W68" s="93" t="s">
        <v>15</v>
      </c>
    </row>
    <row r="69" spans="1:23" s="5" customFormat="1" ht="28.5" customHeight="1" thickBot="1" x14ac:dyDescent="0.35">
      <c r="B69" s="252" t="s">
        <v>88</v>
      </c>
      <c r="C69" s="252"/>
      <c r="D69" s="253"/>
      <c r="E69" s="142">
        <v>0</v>
      </c>
      <c r="F69" s="178" t="str">
        <f>IF(AND(E69&gt;0,LEN(G69)&lt;2),"  &gt;&gt; Info please! &gt;&gt;",
IF( AND(E69=0,LEN(G69)&gt;2), "&lt; Number missing?", ""))</f>
        <v/>
      </c>
      <c r="G69" s="343"/>
      <c r="H69" s="344"/>
      <c r="I69" s="344"/>
      <c r="J69" s="345"/>
      <c r="K69" s="123"/>
      <c r="L69" s="11"/>
      <c r="M69" s="11"/>
      <c r="N69" s="11"/>
      <c r="O69" s="11"/>
      <c r="R69" s="126" t="str">
        <f>ADDRESS(ROW(H63),COLUMN(H63),4)</f>
        <v>H63</v>
      </c>
      <c r="S69" s="74">
        <f t="shared" ca="1" si="0"/>
        <v>1</v>
      </c>
      <c r="T69" s="77" t="str">
        <f>Indent&amp;"According to the headcount you have no staff in post, just vacancies"</f>
        <v xml:space="preserve">                 According to the headcount you have no staff in post, just vacancies</v>
      </c>
      <c r="U69" s="94" t="b">
        <f ca="1">U64</f>
        <v>0</v>
      </c>
      <c r="V69" s="92" t="str">
        <f t="shared" ca="1" si="2"/>
        <v/>
      </c>
      <c r="W69" s="93" t="s">
        <v>15</v>
      </c>
    </row>
    <row r="70" spans="1:23" s="5" customFormat="1" ht="33" customHeight="1" thickBot="1" x14ac:dyDescent="0.35">
      <c r="B70" s="254" t="s">
        <v>79</v>
      </c>
      <c r="C70" s="254"/>
      <c r="D70" s="255"/>
      <c r="E70" s="202" t="str">
        <f>IF(SUM(E66:E69)=0,"",ROUND(SUM(E66:E69),2))</f>
        <v/>
      </c>
      <c r="F70" s="269" t="str">
        <f>IF(AND(E41=0,E70=""),"",
IF(AND(E41&lt;&gt;0,E70&lt;&gt;E41)," This value should also be '"&amp;IF(OR(E41="",E41=0),0,E41)&amp;"', not '"&amp;IF(E70="",0,E70)&amp;"', to match the previous Total value of '"&amp;IF(OR(E41="",E41=0),0,E41)&amp;"' WTEs  in Section 1 (" &amp;ADDRESS(ROW(E41),COLUMN(E41),4)&amp;")",
IF(E41=E70," This correctly matches the previous Total value of '"&amp;IF(OR(E41="",E41=0),0,E41)&amp;"' WTEs in Section 1 (" &amp;ADDRESS(ROW(E41),COLUMN(E41),4)&amp;")",
" Have you completed the previous sections correctly?...Total in Section 2 should not be '0'")))</f>
        <v xml:space="preserve"> This correctly matches the previous Total value of '0' WTEs in Section 1 (E41)</v>
      </c>
      <c r="G70" s="270"/>
      <c r="H70" s="270"/>
      <c r="I70" s="270"/>
      <c r="J70" s="270"/>
      <c r="K70" s="270"/>
      <c r="L70" s="103"/>
      <c r="M70" s="103"/>
      <c r="N70" s="103"/>
      <c r="O70" s="103"/>
      <c r="R70" s="126" t="str">
        <f>ADDRESS(ROW(I60),COLUMN(I60),4)</f>
        <v>I60</v>
      </c>
      <c r="S70" s="74">
        <f t="shared" ca="1" si="0"/>
        <v>1</v>
      </c>
      <c r="T70" s="77" t="str">
        <f>Indent&amp;"Check headcount : Too many vacancies"</f>
        <v xml:space="preserve">                 Check headcount : Too many vacancies</v>
      </c>
      <c r="U70" s="94" t="b">
        <f ca="1">U65</f>
        <v>0</v>
      </c>
      <c r="V70" s="92" t="str">
        <f t="shared" ca="1" si="2"/>
        <v/>
      </c>
      <c r="W70" s="93" t="s">
        <v>15</v>
      </c>
    </row>
    <row r="71" spans="1:23" x14ac:dyDescent="0.3">
      <c r="B71" s="245"/>
      <c r="C71" s="245"/>
      <c r="D71" s="245"/>
      <c r="G71" s="71"/>
      <c r="H71" s="71"/>
      <c r="I71" s="71"/>
      <c r="J71" s="71"/>
      <c r="K71" s="71"/>
      <c r="L71" s="71"/>
      <c r="M71" s="71"/>
      <c r="N71" s="71"/>
      <c r="O71" s="71"/>
      <c r="R71" s="126" t="str">
        <f>ADDRESS(ROW(I60),COLUMN(I60),4)</f>
        <v>I60</v>
      </c>
      <c r="S71" s="74">
        <f ca="1">IF( ISERROR(IF(OR(INDIRECT(R71)=0,INDIRECT(R71)=""),1,0)),"",IF(OR(INDIRECT(R71)=0,INDIRECT(R71)=""),1,0))</f>
        <v>1</v>
      </c>
      <c r="T71" s="77" t="str">
        <f>Indent&amp;"So no vacancies then ?"</f>
        <v xml:space="preserve">                 So no vacancies then ?</v>
      </c>
      <c r="U71" s="94" t="b">
        <f ca="1">U66</f>
        <v>0</v>
      </c>
      <c r="V71" s="92" t="str">
        <f t="shared" ca="1" si="2"/>
        <v/>
      </c>
      <c r="W71" s="93" t="s">
        <v>15</v>
      </c>
    </row>
    <row r="72" spans="1:23" s="5" customFormat="1" ht="13.5" customHeight="1" thickBot="1" x14ac:dyDescent="0.35">
      <c r="A72" s="217">
        <v>3</v>
      </c>
      <c r="B72" s="295" t="s">
        <v>89</v>
      </c>
      <c r="C72" s="295"/>
      <c r="D72" s="295"/>
      <c r="E72" s="13"/>
      <c r="F72" s="42"/>
      <c r="G72" s="42"/>
      <c r="H72" s="42"/>
      <c r="I72" s="42"/>
      <c r="P72" s="80" t="s">
        <v>90</v>
      </c>
      <c r="R72" s="130" t="str">
        <f>ADDRESS(ROW(H60),COLUMN(H60),4)</f>
        <v>H60</v>
      </c>
      <c r="S72" s="74">
        <f t="shared" ca="1" si="0"/>
        <v>1</v>
      </c>
      <c r="T72" s="77" t="str">
        <f>LineBreak &amp;Indent&amp;"Please complete the headcount column 'bi'"</f>
        <v xml:space="preserve"> 
                 Please complete the headcount column 'bi'</v>
      </c>
      <c r="U72" s="94" t="b">
        <f ca="1">U67</f>
        <v>0</v>
      </c>
      <c r="V72" s="92" t="str">
        <f t="shared" ca="1" si="2"/>
        <v/>
      </c>
      <c r="W72" s="93"/>
    </row>
    <row r="73" spans="1:23" s="5" customFormat="1" ht="16.2" customHeight="1" thickTop="1" thickBot="1" x14ac:dyDescent="0.35">
      <c r="A73" s="111"/>
      <c r="B73" s="293" t="s">
        <v>91</v>
      </c>
      <c r="C73" s="293"/>
      <c r="D73" s="293"/>
      <c r="E73" s="259" t="s">
        <v>92</v>
      </c>
      <c r="F73" s="260"/>
      <c r="G73" s="260"/>
      <c r="H73" s="260"/>
      <c r="I73" s="260"/>
      <c r="J73" s="260"/>
      <c r="K73" s="260"/>
      <c r="L73" s="260"/>
      <c r="M73" s="260"/>
      <c r="N73" s="260"/>
      <c r="O73" s="260"/>
      <c r="P73" s="261"/>
      <c r="R73" s="131">
        <f ca="1">IFERROR(OFFSET($Q$53,MATCH(1,LstHeadCountEntries,0)-1,-4)&amp;" &amp; "&amp;OFFSET($Q$53,MATCH(1,LstHeadCountEntries,0)-1,-2),
TblStaffBands)</f>
        <v>0</v>
      </c>
      <c r="S73" s="129" t="str">
        <f t="shared" ca="1" si="0"/>
        <v/>
      </c>
      <c r="T73" s="77" t="str">
        <f ca="1">LineBreak &amp;Indent&amp;"Headcount missing from " &amp;COUNTIF(LstHeadCountEntries,1)&amp; " Row" &amp; IF(COUNTIF(LstHeadCountEntries,1)&gt;1,"s","")&amp;"  where a WTE value is present,  eg: see cells "</f>
        <v xml:space="preserve"> 
                 Headcount missing from 0 Row  where a WTE value is present,  eg: see cells </v>
      </c>
      <c r="U73" s="94" t="b">
        <f ca="1">COUNTIF(LstHeadCountEntries,1)&gt;0</f>
        <v>0</v>
      </c>
      <c r="V73" s="92" t="str">
        <f t="shared" ca="1" si="2"/>
        <v/>
      </c>
      <c r="W73" s="93" t="s">
        <v>15</v>
      </c>
    </row>
    <row r="74" spans="1:23" s="5" customFormat="1" ht="59.4" customHeight="1" thickBot="1" x14ac:dyDescent="0.35">
      <c r="A74" s="111"/>
      <c r="B74" s="293"/>
      <c r="C74" s="293"/>
      <c r="D74" s="293"/>
      <c r="E74" s="184" t="s">
        <v>93</v>
      </c>
      <c r="F74" s="184" t="s">
        <v>94</v>
      </c>
      <c r="G74" s="184" t="s">
        <v>95</v>
      </c>
      <c r="H74" s="184" t="s">
        <v>96</v>
      </c>
      <c r="I74" s="184" t="s">
        <v>97</v>
      </c>
      <c r="J74" s="184" t="s">
        <v>98</v>
      </c>
      <c r="K74" s="184" t="s">
        <v>99</v>
      </c>
      <c r="O74"/>
      <c r="R74" s="132">
        <f ca="1">IFERROR(OFFSET($Q$53,MATCH(2,LstHeadCountEntries,0)-1,-4)&amp;" &amp; "&amp;OFFSET($Q$53,MATCH(2,LstHeadCountEntries,0)-1,-2),
TblStaffBands)</f>
        <v>0</v>
      </c>
      <c r="S74" s="129" t="str">
        <f t="shared" ca="1" si="0"/>
        <v/>
      </c>
      <c r="T74" s="77" t="str">
        <f ca="1">LineBreak &amp;Indent&amp;"Headcount but no WTE in " &amp;COUNTIF(LstHeadCountEntries,2)&amp;" Row" &amp; IF(COUNTIF(LstHeadCountEntries,2)&gt;1,"s","")&amp;", eg: see cells "</f>
        <v xml:space="preserve"> 
                 Headcount but no WTE in 0 Row, eg: see cells </v>
      </c>
      <c r="U74" s="94" t="b">
        <f ca="1">COUNTIF(LstHeadCountEntries,2)&gt;0</f>
        <v>0</v>
      </c>
      <c r="V74" s="92" t="str">
        <f t="shared" ca="1" si="2"/>
        <v/>
      </c>
      <c r="W74" s="93" t="s">
        <v>15</v>
      </c>
    </row>
    <row r="75" spans="1:23" s="5" customFormat="1" ht="23.25" customHeight="1" x14ac:dyDescent="0.3">
      <c r="A75" s="218">
        <v>3.1</v>
      </c>
      <c r="B75" s="249" t="s">
        <v>100</v>
      </c>
      <c r="C75" s="250"/>
      <c r="D75" s="251"/>
      <c r="E75" s="143">
        <v>0</v>
      </c>
      <c r="F75" s="143">
        <v>0</v>
      </c>
      <c r="G75" s="144">
        <v>0</v>
      </c>
      <c r="H75" s="144">
        <v>0</v>
      </c>
      <c r="I75" s="144">
        <v>0</v>
      </c>
      <c r="J75" s="144">
        <v>0</v>
      </c>
      <c r="K75" s="149">
        <v>0</v>
      </c>
      <c r="L75" s="108"/>
      <c r="M75" s="108"/>
      <c r="N75" s="108"/>
      <c r="O75" s="108"/>
      <c r="R75" s="132">
        <f ca="1">IFERROR(OFFSET($Q$53,MATCH(4,LstHeadCountEntries,0)-1,-4)&amp;" &amp; "&amp;OFFSET($Q$53,MATCH(4,LstHeadCountEntries,0)-1,-2),
TblStaffBands)</f>
        <v>0</v>
      </c>
      <c r="S75" s="129" t="str">
        <f t="shared" ca="1" si="0"/>
        <v/>
      </c>
      <c r="T75" s="77" t="str">
        <f ca="1">LineBreak &amp;Indent&amp;"Headcount is smaller than the recorded WTE in " &amp;COUNTIF(LstHeadCountEntries,4)&amp;" Row" &amp; IF(COUNTIF(LstHeadCountEntries,4)&gt;1,"s","")&amp;",eg:  see cells "</f>
        <v xml:space="preserve"> 
                 Headcount is smaller than the recorded WTE in 0 Row,eg:  see cells </v>
      </c>
      <c r="U75" s="94" t="b">
        <f ca="1">COUNTIF(LstHeadCountEntries,4)&gt;0</f>
        <v>0</v>
      </c>
      <c r="V75" s="92" t="str">
        <f t="shared" ca="1" si="2"/>
        <v/>
      </c>
      <c r="W75" s="93" t="s">
        <v>15</v>
      </c>
    </row>
    <row r="76" spans="1:23" s="5" customFormat="1" ht="23.25" customHeight="1" x14ac:dyDescent="0.3">
      <c r="A76" s="218">
        <v>3.2</v>
      </c>
      <c r="B76" s="262" t="s">
        <v>101</v>
      </c>
      <c r="C76" s="263"/>
      <c r="D76" s="264"/>
      <c r="E76" s="146">
        <v>0</v>
      </c>
      <c r="F76" s="146">
        <v>0</v>
      </c>
      <c r="G76" s="140">
        <v>0</v>
      </c>
      <c r="H76" s="140">
        <v>0</v>
      </c>
      <c r="I76" s="140">
        <v>0</v>
      </c>
      <c r="J76" s="140">
        <v>0</v>
      </c>
      <c r="K76" s="150">
        <v>0</v>
      </c>
      <c r="L76" s="108"/>
      <c r="M76" s="108"/>
      <c r="N76" s="108"/>
      <c r="O76" s="108"/>
      <c r="R76" s="133"/>
      <c r="S76" s="129" t="str">
        <f t="shared" ca="1" si="0"/>
        <v/>
      </c>
      <c r="T76" s="77"/>
      <c r="U76" s="94"/>
      <c r="V76" s="92" t="str">
        <f t="shared" si="2"/>
        <v/>
      </c>
      <c r="W76" s="93"/>
    </row>
    <row r="77" spans="1:23" s="5" customFormat="1" ht="23.25" customHeight="1" x14ac:dyDescent="0.3">
      <c r="A77" s="25">
        <v>3.3</v>
      </c>
      <c r="B77" s="262" t="s">
        <v>102</v>
      </c>
      <c r="C77" s="263"/>
      <c r="D77" s="264"/>
      <c r="E77" s="146">
        <v>0</v>
      </c>
      <c r="F77" s="146">
        <v>0</v>
      </c>
      <c r="G77" s="140">
        <v>0</v>
      </c>
      <c r="H77" s="140">
        <v>0</v>
      </c>
      <c r="I77" s="140">
        <v>0</v>
      </c>
      <c r="J77" s="140">
        <v>0</v>
      </c>
      <c r="K77" s="150">
        <v>0</v>
      </c>
      <c r="L77" s="108"/>
      <c r="M77" s="108"/>
      <c r="N77" s="108"/>
      <c r="O77" s="108"/>
      <c r="R77" s="132">
        <f ca="1">IFERROR(OFFSET($Q$62,MATCH(1,LstHeadcountVacancies,0)-1,-4)&amp;" &amp; "&amp;OFFSET($Q$62,MATCH(1,LstHeadcountVacancies,0)-1,-2),
TblStaffBands)</f>
        <v>0</v>
      </c>
      <c r="S77" s="129" t="str">
        <f t="shared" ca="1" si="0"/>
        <v/>
      </c>
      <c r="T77" s="77" t="str">
        <f ca="1">LineBreak &amp;Indent&amp;"Headcount vacancy missing from " &amp;COUNTIF(LstHeadcountVacancies,1)&amp; " Row" &amp; IF(COUNTIF(LstHeadcountVacancies,1)&gt;1,"s","")&amp;"  where a WTE vacancy is present,  eg: see cells "</f>
        <v xml:space="preserve"> 
                 Headcount vacancy missing from 0 Row  where a WTE vacancy is present,  eg: see cells </v>
      </c>
      <c r="U77" s="94" t="b">
        <f ca="1">COUNTIF(LstHeadcountVacancies,1)&gt;0</f>
        <v>0</v>
      </c>
      <c r="V77" s="92" t="str">
        <f t="shared" ca="1" si="2"/>
        <v/>
      </c>
      <c r="W77" s="93" t="s">
        <v>15</v>
      </c>
    </row>
    <row r="78" spans="1:23" s="5" customFormat="1" ht="23.25" customHeight="1" thickBot="1" x14ac:dyDescent="0.35">
      <c r="A78" s="25">
        <v>3.4</v>
      </c>
      <c r="B78" s="135" t="s">
        <v>103</v>
      </c>
      <c r="C78" s="136"/>
      <c r="D78" s="136"/>
      <c r="E78" s="146">
        <v>0</v>
      </c>
      <c r="F78" s="146">
        <v>0</v>
      </c>
      <c r="G78" s="140">
        <v>0</v>
      </c>
      <c r="H78" s="140">
        <v>0</v>
      </c>
      <c r="I78" s="140">
        <v>0</v>
      </c>
      <c r="J78" s="140">
        <v>0</v>
      </c>
      <c r="K78" s="150">
        <v>0</v>
      </c>
      <c r="L78" s="108"/>
      <c r="M78" s="108"/>
      <c r="N78" s="108"/>
      <c r="O78" s="108"/>
      <c r="R78" s="132"/>
      <c r="S78" s="129"/>
      <c r="T78" s="77"/>
      <c r="U78" s="94"/>
      <c r="V78" s="92"/>
      <c r="W78" s="93"/>
    </row>
    <row r="79" spans="1:23" s="24" customFormat="1" ht="18.75" customHeight="1" thickBot="1" x14ac:dyDescent="0.35">
      <c r="A79" s="23"/>
      <c r="B79" s="267" t="s">
        <v>79</v>
      </c>
      <c r="C79" s="267"/>
      <c r="D79" s="267"/>
      <c r="E79" s="203" t="str">
        <f t="shared" ref="E79" si="22">IF(SUM(E75:E78)=0,"",SUM(E75:E78))</f>
        <v/>
      </c>
      <c r="F79" s="203" t="str">
        <f>IF(SUM(F75:F78)=0,"",SUM(F75:F78))</f>
        <v/>
      </c>
      <c r="G79" s="203" t="str">
        <f t="shared" ref="G79:K79" si="23">IF(SUM(G75:G78)=0,"",SUM(G75:G78))</f>
        <v/>
      </c>
      <c r="H79" s="204" t="str">
        <f t="shared" si="23"/>
        <v/>
      </c>
      <c r="I79" s="204" t="str">
        <f t="shared" si="23"/>
        <v/>
      </c>
      <c r="J79" s="204" t="str">
        <f t="shared" si="23"/>
        <v/>
      </c>
      <c r="K79" s="205" t="str">
        <f t="shared" si="23"/>
        <v/>
      </c>
      <c r="L79" s="5"/>
      <c r="M79" s="5"/>
      <c r="N79" s="5"/>
      <c r="O79"/>
      <c r="R79" s="132">
        <f ca="1">IFERROR(OFFSET($Q$62,MATCH(2,LstHeadcountVacancies,0)-1,-4)&amp;" &amp; "&amp;OFFSET($Q$62,MATCH(2,LstHeadcountVacancies,0)-1,-2),
TblStaffBands)</f>
        <v>0</v>
      </c>
      <c r="S79" s="129" t="str">
        <f t="shared" ca="1" si="0"/>
        <v/>
      </c>
      <c r="T79" s="77" t="str">
        <f ca="1">LineBreak &amp;Indent&amp;"Headcount Vacancy but no WTE Vacancy  in " &amp;COUNTIF(LstHeadcountVacancies,2)&amp;" Row" &amp; IF(COUNTIF(LstHeadcountVacancies,2)&gt;1,"s","")&amp;", eg: see cells "</f>
        <v xml:space="preserve"> 
                 Headcount Vacancy but no WTE Vacancy  in 0 Row, eg: see cells </v>
      </c>
      <c r="U79" s="94" t="b">
        <f ca="1">COUNTIF(LstHeadcountVacancies,2)&gt;0</f>
        <v>0</v>
      </c>
      <c r="V79" s="92" t="str">
        <f t="shared" ca="1" si="2"/>
        <v/>
      </c>
      <c r="W79" s="93" t="s">
        <v>15</v>
      </c>
    </row>
    <row r="80" spans="1:23" ht="51.75" customHeight="1" thickBot="1" x14ac:dyDescent="0.35">
      <c r="B80" s="246"/>
      <c r="C80" s="246"/>
      <c r="D80" s="246"/>
      <c r="E80" s="177" t="str">
        <f>IF($E53-$G53=SUM(E75:E78),"Correct total","Total should be "&amp;
IF($E53-$G53 ="","0  ",$E53-$G53)&amp; "  Derived from:            Cell E56 - Cell F56")</f>
        <v>Correct total</v>
      </c>
      <c r="F80" s="177" t="str">
        <f>IF($E54-$G54=SUM(F75:F78),"Correct total","Total should be "&amp;
IF($E54-$G54 ="","0  ",$E54-$G54)&amp; "  Derived from:            Cell E56 - Cell F56")</f>
        <v>Correct total</v>
      </c>
      <c r="G80" s="177" t="str">
        <f>IF($E55-$G55=SUM(G75:G78),"Correct total","Total should be "&amp;
IF($E55-$G55 ="","0  ",$E55-$G55)&amp; "  Derived from:            Cell E57 - Cell F57")</f>
        <v>Correct total</v>
      </c>
      <c r="H80" s="177" t="str">
        <f>IF($E56-$G56=SUM(H75:H78),"Correct total","Total should be "&amp;
IF($E56-$G56 ="","0  ",$E56-$G56)&amp; "  Derived from:            Cell E58 - Cell F58")</f>
        <v>Correct total</v>
      </c>
      <c r="I80" s="177" t="str">
        <f>IF($E57-$G57=SUM(I75:I78),"Correct total","Total should be "&amp;
IF($E57-$G57 ="","0  ",$E57-$G57)&amp; "  Derived from:            Cell E59 - Cell F59")</f>
        <v>Correct total</v>
      </c>
      <c r="J80" s="177" t="str">
        <f>IF($E58-$G58=SUM(J75:J78),"Correct total","Total should be "&amp;
IF($E58-$G58 ="","0  ",$E58-$G58)&amp; "  Derived from:            Cell E60 - Cell F60")</f>
        <v>Correct total</v>
      </c>
      <c r="K80" s="177" t="str">
        <f>IF($E59-$G59=SUM(K75:K78),"Correct total","Total should be "&amp;
IF($E59-$G59 ="","0  ",$E59-$G59)&amp; "  Derived from:            Cell E61 - Cell F61")</f>
        <v>Correct total</v>
      </c>
      <c r="L80" s="5"/>
      <c r="M80" s="5"/>
      <c r="N80" s="5"/>
      <c r="O80" s="72"/>
      <c r="P80" s="214"/>
      <c r="R80" s="134">
        <f ca="1">IFERROR(OFFSET($Q$62,MATCH(4,LstHeadcountVacancies,0)-1,-4)&amp;" &amp; "&amp;OFFSET($Q$62,MATCH(4,LstHeadcountVacancies,0)-1,-2),
TblStaffBands)</f>
        <v>0</v>
      </c>
      <c r="S80" s="129" t="str">
        <f t="shared" ref="S80:S124" ca="1" si="24">IF( ISERROR(IF(OR(INDIRECT(R80)=0,INDIRECT(R80)=""),1,0)),"",IF(OR(INDIRECT(R80)=0,INDIRECT(R80)=""),1,0))</f>
        <v/>
      </c>
      <c r="T80" s="77" t="str">
        <f ca="1">LineBreak &amp;Indent&amp;"Headcount Vacancy is smaller than the recorded WTE Vacancy  in " &amp;COUNTIF(LstHeadcountVacancies,4)&amp;" Row" &amp; IF(COUNTIF(LstHeadcountVacancies,4)&gt;1,"s","")&amp;",eg:  see cells "</f>
        <v xml:space="preserve"> 
                 Headcount Vacancy is smaller than the recorded WTE Vacancy  in 0 Row,eg:  see cells </v>
      </c>
      <c r="U80" s="94" t="b">
        <f ca="1">COUNTIF(LstHeadcountVacancies,4)&gt;0</f>
        <v>0</v>
      </c>
      <c r="V80" s="92" t="str">
        <f t="shared" ref="V80:V143" ca="1" si="25" xml:space="preserve"> IF(U80,T80&amp;IF(W80&lt;&gt;"",IF(R80&lt;&gt;"", "  ("&amp;R80&amp;")  - ",""),""),"")</f>
        <v/>
      </c>
      <c r="W80" s="93" t="s">
        <v>15</v>
      </c>
    </row>
    <row r="81" spans="1:23" ht="21.75" customHeight="1" thickTop="1" thickBot="1" x14ac:dyDescent="0.35">
      <c r="B81" s="265" t="s">
        <v>81</v>
      </c>
      <c r="C81" s="265"/>
      <c r="D81" s="266"/>
      <c r="E81" s="202" t="str">
        <f>IF(SUM(E79:K79)=0,"",ROUND(SUM(E79:K79),2))</f>
        <v/>
      </c>
      <c r="F81" s="239" t="str">
        <f>IF(AND(E41=0,E81=""),"",
IF(AND(E41&lt;&gt;0,E81&lt;&gt;E41)," This value should also be '"&amp;IF(OR(E41="",E41=0),0,E41)&amp;"', not '"&amp;IF(E81="",0,E81)&amp;"', to match the previous Total value of '"&amp;IF(OR(E41="",E41=0),0,E41)&amp;"' WTEs  in Section 1 (E51)",
IF(E41=E81," The Summary Total correctly matches the previous Total value of '"&amp;IF(OR(E41="",E41=0),0,E41)&amp;"' WTEs in Section 1 (E51)",
" Have you completed the previous sections correctly?...Total in Section 1 should not be '0'")))</f>
        <v xml:space="preserve"> The Summary Total correctly matches the previous Total value of '0' WTEs in Section 1 (E51)</v>
      </c>
      <c r="G81" s="271"/>
      <c r="H81" s="271"/>
      <c r="I81" s="271"/>
      <c r="J81" s="271"/>
      <c r="K81" s="271"/>
      <c r="L81" s="103"/>
      <c r="M81" s="103"/>
      <c r="N81" s="103"/>
      <c r="O81" s="103"/>
      <c r="R81" s="130" t="str">
        <f>ADDRESS(ROW(B65),COLUMN(B65),4)</f>
        <v>B65</v>
      </c>
      <c r="S81" s="74">
        <f t="shared" ca="1" si="24"/>
        <v>0</v>
      </c>
      <c r="T81" s="90" t="str">
        <f>LineBreak &amp; LineBreak &amp; "SALARY SCHEMES"&amp;LineBreak</f>
        <v xml:space="preserve"> 
SALARY SCHEMES 
</v>
      </c>
      <c r="U81" s="94" t="b">
        <f ca="1">OR(U83,U84,U85,U86,U87,U88,U89,U90,U91,U92)</f>
        <v>1</v>
      </c>
      <c r="V81" s="92" t="str">
        <f ca="1" xml:space="preserve"> IF(U81,T81&amp;IF(W81&lt;&gt;"",IF(R81&lt;&gt;"", "  ("&amp;R81&amp;")  - ",""),""),"")</f>
        <v xml:space="preserve"> 
SALARY SCHEMES 
</v>
      </c>
      <c r="W81" s="93"/>
    </row>
    <row r="82" spans="1:23" x14ac:dyDescent="0.3">
      <c r="B82" s="300"/>
      <c r="C82" s="300"/>
      <c r="D82" s="300"/>
      <c r="F82" s="71"/>
      <c r="G82" s="71"/>
      <c r="H82" s="71"/>
      <c r="I82" s="71"/>
      <c r="R82" s="130" t="str">
        <f>ADDRESS(ROW(E70),COLUMN(E70),4)</f>
        <v>E70</v>
      </c>
      <c r="S82" s="74">
        <f t="shared" ca="1" si="24"/>
        <v>1</v>
      </c>
      <c r="T82" s="89" t="str">
        <f>IF(SUM(E66:E69)=0,"",ROUND(SUM(E66:E69),2))</f>
        <v/>
      </c>
      <c r="U82" s="74"/>
      <c r="V82" s="92" t="str">
        <f t="shared" si="25"/>
        <v/>
      </c>
      <c r="W82" s="93" t="s">
        <v>15</v>
      </c>
    </row>
    <row r="83" spans="1:23" x14ac:dyDescent="0.3">
      <c r="R83" s="130" t="str">
        <f>ADDRESS(ROW(E70),COLUMN(E70),4)</f>
        <v>E70</v>
      </c>
      <c r="S83" s="74">
        <f ca="1">IF( ISERROR(IF(OR(INDIRECT(R83)=0,INDIRECT(R83)=""),1,0)),"",IF(OR(INDIRECT(R83)=0,INDIRECT(R83)=""),1,0))</f>
        <v>1</v>
      </c>
      <c r="T83" s="77" t="str">
        <f>LineBreak &amp;Indent&amp;"Salary Scheme WTE does not match the original value in Section 1 (E51)"</f>
        <v xml:space="preserve"> 
                 Salary Scheme WTE does not match the original value in Section 1 (E51)</v>
      </c>
      <c r="U83" s="94" t="b">
        <f>AND(E70&lt;&gt;"",E70&lt;&gt;E41)</f>
        <v>0</v>
      </c>
      <c r="V83" s="92" t="str">
        <f t="shared" si="25"/>
        <v/>
      </c>
      <c r="W83" s="93"/>
    </row>
    <row r="84" spans="1:23" ht="14.4" thickBot="1" x14ac:dyDescent="0.35">
      <c r="A84" s="217">
        <v>4</v>
      </c>
      <c r="B84" s="220" t="s">
        <v>104</v>
      </c>
      <c r="R84" s="130" t="str">
        <f>ADDRESS(ROW(E70),COLUMN(E70),4)</f>
        <v>E70</v>
      </c>
      <c r="S84" s="74">
        <f t="shared" ca="1" si="24"/>
        <v>1</v>
      </c>
      <c r="T84" s="77" t="str">
        <f ca="1">LineBreak&amp;Indent&amp;OFFSET(INDIRECT(R84),0,1)</f>
        <v xml:space="preserve"> 
                  This correctly matches the previous Total value of '0' WTEs in Section 1 (E41)</v>
      </c>
      <c r="U84" s="94" t="b">
        <f>U83</f>
        <v>0</v>
      </c>
      <c r="V84" s="92" t="str">
        <f t="shared" si="25"/>
        <v/>
      </c>
      <c r="W84" s="93"/>
    </row>
    <row r="85" spans="1:23" ht="15.75" customHeight="1" thickBot="1" x14ac:dyDescent="0.35">
      <c r="E85" s="259" t="s">
        <v>105</v>
      </c>
      <c r="F85" s="260"/>
      <c r="G85" s="260"/>
      <c r="H85" s="261"/>
      <c r="I85"/>
      <c r="J85"/>
      <c r="K85"/>
      <c r="L85"/>
      <c r="M85"/>
      <c r="N85"/>
      <c r="O85"/>
      <c r="R85" s="130" t="str">
        <f>ADDRESS(ROW(E66),COLUMN(E66),4)</f>
        <v>E66</v>
      </c>
      <c r="S85" s="74">
        <f t="shared" ca="1" si="24"/>
        <v>1</v>
      </c>
      <c r="T85" s="77" t="str">
        <f>Indent&amp;IF(E66&lt;&gt;0,TEXT(E66,"0.00"),"0.00")&amp;"  "&amp;B66</f>
        <v xml:space="preserve">                 0.00  NHS</v>
      </c>
      <c r="U85" s="94" t="b">
        <v>0</v>
      </c>
      <c r="V85" s="92" t="str">
        <f t="shared" si="25"/>
        <v/>
      </c>
      <c r="W85" s="93" t="s">
        <v>15</v>
      </c>
    </row>
    <row r="86" spans="1:23" ht="21.75" customHeight="1" thickBot="1" x14ac:dyDescent="0.35">
      <c r="B86" s="244" t="s">
        <v>442</v>
      </c>
      <c r="C86" s="244"/>
      <c r="D86" s="206"/>
      <c r="E86" s="158" t="s">
        <v>106</v>
      </c>
      <c r="F86" s="159" t="s">
        <v>107</v>
      </c>
      <c r="G86" s="159" t="s">
        <v>108</v>
      </c>
      <c r="H86" s="160" t="s">
        <v>109</v>
      </c>
      <c r="R86" s="130" t="str">
        <f>ADDRESS(ROW(E67),COLUMN(E67),4)</f>
        <v>E67</v>
      </c>
      <c r="S86" s="74">
        <f t="shared" ca="1" si="24"/>
        <v>1</v>
      </c>
      <c r="T86" s="77" t="str">
        <f>Indent&amp;IF(E67&lt;&gt;0,TEXT(E67,"0.00"),"0.00")&amp;"  "&amp;B67</f>
        <v xml:space="preserve">                 0.00  Higher Education</v>
      </c>
      <c r="U86" s="94" t="b">
        <v>0</v>
      </c>
      <c r="V86" s="92" t="str">
        <f t="shared" si="25"/>
        <v/>
      </c>
      <c r="W86" s="93" t="s">
        <v>15</v>
      </c>
    </row>
    <row r="87" spans="1:23" ht="27" customHeight="1" thickBot="1" x14ac:dyDescent="0.35">
      <c r="B87" s="244"/>
      <c r="C87" s="244"/>
      <c r="E87" s="148">
        <v>0</v>
      </c>
      <c r="F87" s="161">
        <v>0</v>
      </c>
      <c r="G87" s="161">
        <v>0</v>
      </c>
      <c r="H87" s="162">
        <v>0</v>
      </c>
      <c r="R87" s="130" t="str">
        <f>ADDRESS(ROW(E68),COLUMN(E68),4)</f>
        <v>E68</v>
      </c>
      <c r="S87" s="74">
        <f t="shared" ca="1" si="24"/>
        <v>1</v>
      </c>
      <c r="T87" s="77" t="str">
        <f>Indent&amp;IF(E68&lt;&gt;0,TEXT(E68,"0.00"),"0.00")&amp;"  "&amp;B68</f>
        <v xml:space="preserve">                 0.00  Local Authority</v>
      </c>
      <c r="U87" s="94" t="b">
        <v>0</v>
      </c>
      <c r="V87" s="92" t="str">
        <f t="shared" si="25"/>
        <v/>
      </c>
      <c r="W87" s="93" t="s">
        <v>15</v>
      </c>
    </row>
    <row r="88" spans="1:23" ht="75" customHeight="1" x14ac:dyDescent="0.3">
      <c r="B88" s="268" t="s">
        <v>110</v>
      </c>
      <c r="C88" s="268"/>
      <c r="D88" s="268"/>
      <c r="E88" s="179" t="str">
        <f>IF(OR(E87&gt;H79,AND(E87&gt;0,H79="")),"'"&amp;E87&amp;" WTE' recorded for Band 5 outreach: CHECK!  "&amp;
IF(H79=""," as you have no "&amp;H74&amp;" staff at all","…as you only have "&amp;H79&amp;" " &amp;H74&amp;" staff"),"")</f>
        <v/>
      </c>
      <c r="F88" s="179" t="str">
        <f>IF(OR(F87&gt;I79,AND(F87&gt;0,I79="")),"'"&amp;F87&amp;" WTE' recorded for  Band 6 outreach: CHECK!  "&amp;
IF(I79=""," as you have no "&amp;I74&amp;" staff at all","…as you only have "&amp;I79&amp;" " &amp;I74&amp;" staff"),"")</f>
        <v/>
      </c>
      <c r="G88" s="179" t="str">
        <f>IF(OR(G87&gt;J79,AND(G87&gt;0,J79="")),"'"&amp;G87&amp;" WTE' recorded for  Band 7 outreach: CHECK!  "&amp;
IF(J79=""," as you have no "&amp;J74&amp;" staff at all","…as you only have "&amp;J79&amp;" " &amp;J74&amp;" staff"),"")</f>
        <v/>
      </c>
      <c r="H88" s="179" t="str">
        <f>IF(OR(H87&gt;K79,AND(H87&gt;0,K79="")),"'"&amp;H87&amp;" WTE' recorded for Band 8+ outreach: CHECK!  "&amp;
IF(K79=""," as you have no  "&amp;K74&amp;" staff at all","…as you only have "&amp;K79&amp;" " &amp;K74&amp;" staff"),"")</f>
        <v/>
      </c>
      <c r="R88" s="130" t="str">
        <f>ADDRESS(ROW(E69),COLUMN(E69),4)</f>
        <v>E69</v>
      </c>
      <c r="S88" s="74">
        <f t="shared" ca="1" si="24"/>
        <v>1</v>
      </c>
      <c r="T88" s="77" t="str">
        <f>Indent&amp;IF(E69&lt;&gt;0,TEXT(E69,"0.00"),"0.00")&amp;"  "&amp;B69</f>
        <v xml:space="preserve">                 0.00  Other Schemes</v>
      </c>
      <c r="U88" s="94" t="b">
        <v>0</v>
      </c>
      <c r="V88" s="92" t="str">
        <f t="shared" si="25"/>
        <v/>
      </c>
      <c r="W88" s="93" t="s">
        <v>15</v>
      </c>
    </row>
    <row r="89" spans="1:23" x14ac:dyDescent="0.3">
      <c r="B89" s="112" t="s">
        <v>111</v>
      </c>
      <c r="R89" s="130" t="str">
        <f>ADDRESS(ROW(E70),COLUMN(E70),4)</f>
        <v>E70</v>
      </c>
      <c r="S89" s="74">
        <f t="shared" ref="S89:S95" ca="1" si="26">IF( ISERROR(IF(OR(INDIRECT(R89)=0,INDIRECT(R89)=""),1,0)),"",IF(OR(INDIRECT(R89)=0,INDIRECT(R89)=""),1,0))</f>
        <v>1</v>
      </c>
      <c r="T89" s="77" t="str">
        <f>LineBreak&amp;Indent&amp;"Staff Recorded :
"&amp;Indent&amp;Indent&amp;concatenaterange(T85:T88," 
"&amp;Indent&amp;Indent)&amp;"   ("&amp;G69&amp;")"</f>
        <v xml:space="preserve"> 
                 Staff Recorded :
                                                   0.00  NHS 
                                                   0.00  Higher Education 
                                                   0.00  Local Authority 
                                                   0.00  Other Schemes   ()</v>
      </c>
      <c r="U89" s="94" t="b">
        <f ca="1">IF(U90,FALSE,TRUE)</f>
        <v>0</v>
      </c>
      <c r="V89" s="92" t="str">
        <f t="shared" ref="V89:V95" ca="1" si="27" xml:space="preserve"> IF(U89,T89&amp;IF(W89&lt;&gt;"",IF(R89&lt;&gt;"", "  ("&amp;R89&amp;")  - ",""),""),"")</f>
        <v/>
      </c>
      <c r="W89" s="93"/>
    </row>
    <row r="90" spans="1:23" ht="27.75" customHeight="1" thickBot="1" x14ac:dyDescent="0.35">
      <c r="B90" s="1" t="s">
        <v>112</v>
      </c>
      <c r="F90" s="180" t="s">
        <v>113</v>
      </c>
      <c r="G90" s="3"/>
      <c r="R90" s="130" t="str">
        <f>ADDRESS(ROW(E65),COLUMN(E65),4)</f>
        <v>E65</v>
      </c>
      <c r="S90" s="74">
        <f t="shared" ca="1" si="26"/>
        <v>0</v>
      </c>
      <c r="T90" s="77" t="str">
        <f>LineBreak &amp;Indent&amp;"No Staff  by Salary Schemes Recorded yet"</f>
        <v xml:space="preserve"> 
                 No Staff  by Salary Schemes Recorded yet</v>
      </c>
      <c r="U90" s="94" t="b">
        <f ca="1">SUM(S85:S88)=4</f>
        <v>1</v>
      </c>
      <c r="V90" s="92" t="str">
        <f t="shared" ca="1" si="27"/>
        <v xml:space="preserve"> 
                 No Staff  by Salary Schemes Recorded yet  (E65)  - </v>
      </c>
      <c r="W90" s="93" t="s">
        <v>15</v>
      </c>
    </row>
    <row r="91" spans="1:23" ht="12.75" customHeight="1" x14ac:dyDescent="0.3">
      <c r="F91" s="284"/>
      <c r="G91" s="285"/>
      <c r="H91" s="285"/>
      <c r="I91" s="285"/>
      <c r="J91" s="286"/>
      <c r="R91" s="130" t="s">
        <v>114</v>
      </c>
      <c r="S91" s="74">
        <f t="shared" ca="1" si="26"/>
        <v>1</v>
      </c>
      <c r="T91" s="77" t="str">
        <f>IF(G67&lt;&gt;"",LineBreak&amp;LineBreak&amp;Indent&amp;G67,"")</f>
        <v/>
      </c>
      <c r="U91" s="94" t="b">
        <f ca="1">AND(
OR(OFFSET(INDIRECT(R91),0,-2)=0,OFFSET(INDIRECT(R91),0,-2)=""),
G67&lt;&gt;"")</f>
        <v>0</v>
      </c>
      <c r="V91" s="92" t="str">
        <f t="shared" ca="1" si="27"/>
        <v/>
      </c>
      <c r="W91" s="93" t="s">
        <v>15</v>
      </c>
    </row>
    <row r="92" spans="1:23" ht="30.75" customHeight="1" x14ac:dyDescent="0.3">
      <c r="B92" s="293" t="s">
        <v>115</v>
      </c>
      <c r="C92" s="293"/>
      <c r="D92" s="293"/>
      <c r="E92" s="293"/>
      <c r="F92" s="287"/>
      <c r="G92" s="288"/>
      <c r="H92" s="288"/>
      <c r="I92" s="288"/>
      <c r="J92" s="289"/>
      <c r="R92" s="126" t="s">
        <v>116</v>
      </c>
      <c r="S92" s="74">
        <f t="shared" ca="1" si="26"/>
        <v>1</v>
      </c>
      <c r="T92" s="77" t="str">
        <f>LineBreak &amp;Indent&amp;"Other Salary Schemes: Explantion present :    - "&amp;LEFT(G69,35)&amp;"… -    but no WTE entries in "&amp;R92</f>
        <v xml:space="preserve"> 
                 Other Salary Schemes: Explantion present :    - … -    but no WTE entries in G71</v>
      </c>
      <c r="U92" s="94" t="b">
        <f ca="1">AND(S92=0,S88=1)</f>
        <v>0</v>
      </c>
      <c r="V92" s="92" t="str">
        <f t="shared" ca="1" si="27"/>
        <v/>
      </c>
      <c r="W92" s="93" t="s">
        <v>15</v>
      </c>
    </row>
    <row r="93" spans="1:23" x14ac:dyDescent="0.3">
      <c r="F93" s="287"/>
      <c r="G93" s="288"/>
      <c r="H93" s="288"/>
      <c r="I93" s="288"/>
      <c r="J93" s="289"/>
      <c r="R93" s="74"/>
      <c r="S93" s="74" t="str">
        <f t="shared" ca="1" si="26"/>
        <v/>
      </c>
      <c r="T93" s="90" t="str">
        <f ca="1">LineBreak &amp; LineBreak &amp;"Section 3  STAFF QUALIFICATIONS by PAY BAND of STAFF in POST "&amp;IF(U94,LineBreak,"")</f>
        <v xml:space="preserve"> 
Section 3  STAFF QUALIFICATIONS by PAY BAND of STAFF in POST </v>
      </c>
      <c r="U93" s="94" t="b">
        <v>1</v>
      </c>
      <c r="V93" s="92" t="str">
        <f t="shared" ca="1" si="27"/>
        <v xml:space="preserve"> 
Section 3  STAFF QUALIFICATIONS by PAY BAND of STAFF in POST </v>
      </c>
      <c r="W93" s="93" t="s">
        <v>15</v>
      </c>
    </row>
    <row r="94" spans="1:23" ht="14.4" thickBot="1" x14ac:dyDescent="0.35">
      <c r="F94" s="290"/>
      <c r="G94" s="291"/>
      <c r="H94" s="291"/>
      <c r="I94" s="291"/>
      <c r="J94" s="292"/>
      <c r="R94" s="126" t="str">
        <f>ADDRESS(ROW(E81),COLUMN(E81),4)</f>
        <v>E81</v>
      </c>
      <c r="S94" s="74">
        <f t="shared" ca="1" si="26"/>
        <v>1</v>
      </c>
      <c r="T94" s="77" t="str">
        <f>LineBreak &amp;Indent&amp;"SUMMARY WTE Grand Total in "&amp;ADDRESS(ROW(E81),COLUMN(E81),4)&amp; " does not match the original value in Section 1 (E41)"</f>
        <v xml:space="preserve"> 
                 SUMMARY WTE Grand Total in E81 does not match the original value in Section 1 (E41)</v>
      </c>
      <c r="U94" s="94" t="b">
        <f ca="1">AND(E81&lt;&gt;E41,S94=0)</f>
        <v>0</v>
      </c>
      <c r="V94" s="92" t="str">
        <f t="shared" ca="1" si="27"/>
        <v/>
      </c>
      <c r="W94" s="93"/>
    </row>
    <row r="95" spans="1:23" ht="8.25" customHeight="1" x14ac:dyDescent="0.3">
      <c r="B95" s="51"/>
      <c r="R95" s="126" t="str">
        <f>ADDRESS(ROW(E81),COLUMN(E81),4)</f>
        <v>E81</v>
      </c>
      <c r="S95" s="74">
        <f t="shared" ca="1" si="26"/>
        <v>1</v>
      </c>
      <c r="T95" s="77" t="str">
        <f ca="1">LineBreak&amp;LineBreak&amp;Indent&amp; OFFSET(INDIRECT(R95),0,1)</f>
        <v xml:space="preserve"> 
                  The Summary Total correctly matches the previous Total value of '0' WTEs in Section 1 (E51)</v>
      </c>
      <c r="U95" s="94" t="b">
        <f ca="1">U94</f>
        <v>0</v>
      </c>
      <c r="V95" s="92" t="str">
        <f t="shared" ca="1" si="27"/>
        <v/>
      </c>
      <c r="W95" s="93"/>
    </row>
    <row r="96" spans="1:23" ht="12.75" customHeight="1" x14ac:dyDescent="0.3">
      <c r="B96" s="221"/>
      <c r="C96" s="221"/>
      <c r="D96" s="221"/>
      <c r="E96" s="179"/>
      <c r="F96" s="179"/>
      <c r="G96" s="179"/>
      <c r="H96" s="179"/>
      <c r="R96" s="130"/>
      <c r="S96" s="74"/>
      <c r="T96" s="77"/>
      <c r="U96" s="94"/>
      <c r="V96" s="92"/>
      <c r="W96" s="93"/>
    </row>
    <row r="97" spans="1:23" ht="12.75" customHeight="1" thickBot="1" x14ac:dyDescent="0.35">
      <c r="A97" s="190">
        <v>5</v>
      </c>
      <c r="B97" s="320" t="s">
        <v>433</v>
      </c>
      <c r="C97" s="320"/>
      <c r="D97" s="221"/>
      <c r="E97" s="179"/>
      <c r="F97" s="179"/>
      <c r="G97" s="179"/>
      <c r="H97" s="179"/>
      <c r="R97" s="130"/>
      <c r="S97" s="74"/>
      <c r="T97" s="77"/>
      <c r="U97" s="94"/>
      <c r="V97" s="92"/>
      <c r="W97" s="93"/>
    </row>
    <row r="98" spans="1:23" ht="15.75" customHeight="1" thickBot="1" x14ac:dyDescent="0.35">
      <c r="B98" s="207"/>
      <c r="C98" s="221"/>
      <c r="D98" s="259" t="s">
        <v>117</v>
      </c>
      <c r="E98" s="260"/>
      <c r="F98" s="260"/>
      <c r="G98" s="260"/>
      <c r="H98" s="260"/>
      <c r="I98" s="260"/>
      <c r="J98" s="261"/>
      <c r="R98" s="130"/>
      <c r="S98" s="74"/>
      <c r="T98" s="77"/>
      <c r="U98" s="94"/>
      <c r="V98" s="92"/>
      <c r="W98" s="93"/>
    </row>
    <row r="99" spans="1:23" ht="21.75" customHeight="1" thickBot="1" x14ac:dyDescent="0.35">
      <c r="B99" s="363" t="s">
        <v>443</v>
      </c>
      <c r="C99" s="221"/>
      <c r="D99" s="208" t="s">
        <v>118</v>
      </c>
      <c r="E99" s="158" t="s">
        <v>94</v>
      </c>
      <c r="F99" s="158" t="s">
        <v>95</v>
      </c>
      <c r="G99" s="158" t="s">
        <v>106</v>
      </c>
      <c r="H99" s="159" t="s">
        <v>107</v>
      </c>
      <c r="I99" s="159" t="s">
        <v>108</v>
      </c>
      <c r="J99" s="160" t="s">
        <v>109</v>
      </c>
      <c r="R99" s="130"/>
      <c r="S99" s="74"/>
      <c r="T99" s="77"/>
      <c r="U99" s="94"/>
      <c r="V99" s="92"/>
      <c r="W99" s="93"/>
    </row>
    <row r="100" spans="1:23" ht="35.4" customHeight="1" thickBot="1" x14ac:dyDescent="0.35">
      <c r="B100" s="363"/>
      <c r="C100" s="221"/>
      <c r="D100" s="148">
        <v>0</v>
      </c>
      <c r="E100" s="148">
        <v>0</v>
      </c>
      <c r="F100" s="148">
        <v>0</v>
      </c>
      <c r="G100" s="148">
        <v>0</v>
      </c>
      <c r="H100" s="161">
        <v>0</v>
      </c>
      <c r="I100" s="161">
        <v>0</v>
      </c>
      <c r="J100" s="162">
        <v>0</v>
      </c>
      <c r="R100" s="130"/>
      <c r="S100" s="74"/>
      <c r="T100" s="77"/>
      <c r="U100" s="94"/>
      <c r="V100" s="92"/>
      <c r="W100" s="93"/>
    </row>
    <row r="101" spans="1:23" ht="12.75" customHeight="1" x14ac:dyDescent="0.3">
      <c r="B101" s="221"/>
      <c r="C101" s="221"/>
      <c r="D101" s="221"/>
      <c r="E101" s="179"/>
      <c r="F101" s="179"/>
      <c r="G101" s="179"/>
      <c r="H101" s="179"/>
      <c r="R101" s="130"/>
      <c r="S101" s="74"/>
      <c r="T101" s="77"/>
      <c r="U101" s="94"/>
      <c r="V101" s="92"/>
      <c r="W101" s="93"/>
    </row>
    <row r="102" spans="1:23" ht="12.75" customHeight="1" x14ac:dyDescent="0.3">
      <c r="B102" s="221"/>
      <c r="C102" s="221"/>
      <c r="D102" s="221"/>
      <c r="E102" s="179"/>
      <c r="F102" s="179"/>
      <c r="G102" s="179"/>
      <c r="H102" s="179"/>
      <c r="R102" s="130"/>
      <c r="S102" s="74"/>
      <c r="T102" s="77"/>
      <c r="U102" s="94"/>
      <c r="V102" s="92"/>
      <c r="W102" s="93"/>
    </row>
    <row r="103" spans="1:23" ht="9.6" customHeight="1" x14ac:dyDescent="0.3">
      <c r="B103" s="221"/>
      <c r="C103" s="221"/>
      <c r="D103" s="221"/>
      <c r="E103" s="179"/>
      <c r="F103" s="179"/>
      <c r="G103" s="179"/>
      <c r="H103" s="179"/>
      <c r="R103" s="130"/>
      <c r="S103" s="74"/>
      <c r="T103" s="77"/>
      <c r="U103" s="94"/>
      <c r="V103" s="92"/>
      <c r="W103" s="93"/>
    </row>
    <row r="104" spans="1:23" ht="17.25" customHeight="1" x14ac:dyDescent="0.3">
      <c r="B104" s="112" t="s">
        <v>111</v>
      </c>
      <c r="R104" s="130" t="str">
        <f>ADDRESS(ROW(E81),COLUMN(E81),4)</f>
        <v>E81</v>
      </c>
      <c r="S104" s="74">
        <f t="shared" ref="S104:S107" ca="1" si="28">IF( ISERROR(IF(OR(INDIRECT(R104)=0,INDIRECT(R104)=""),1,0)),"",IF(OR(INDIRECT(R104)=0,INDIRECT(R104)=""),1,0))</f>
        <v>1</v>
      </c>
      <c r="T104" s="77" t="str">
        <f>LineBreak&amp;LineBreak&amp;Indent&amp;Indent&amp;" - DATA APPEARS COMPLETE - "</f>
        <v xml:space="preserve"> 
                                   - DATA APPEARS COMPLETE - </v>
      </c>
      <c r="U104" s="94" t="b">
        <f ca="1">IF(OR(U94:U103),FALSE,TRUE)</f>
        <v>1</v>
      </c>
      <c r="V104" s="92" t="str">
        <f t="shared" ref="V104:V110" ca="1" si="29" xml:space="preserve"> IF(U104,T104&amp;IF(W104&lt;&gt;"",IF(R104&lt;&gt;"", "  ("&amp;R104&amp;")  - ",""),""),"")</f>
        <v xml:space="preserve"> 
                                   - DATA APPEARS COMPLETE - </v>
      </c>
      <c r="W104" s="93"/>
    </row>
    <row r="105" spans="1:23" ht="17.25" customHeight="1" thickBot="1" x14ac:dyDescent="0.35">
      <c r="B105" s="1" t="s">
        <v>112</v>
      </c>
      <c r="F105" s="180" t="s">
        <v>113</v>
      </c>
      <c r="G105" s="3"/>
      <c r="R105" s="130" t="str">
        <f>ADDRESS(ROW(E81),COLUMN(E81),4)</f>
        <v>E81</v>
      </c>
      <c r="S105" s="74">
        <f t="shared" ca="1" si="28"/>
        <v>1</v>
      </c>
      <c r="T105" s="77"/>
      <c r="U105" s="74"/>
      <c r="V105" s="92" t="str">
        <f t="shared" si="29"/>
        <v/>
      </c>
      <c r="W105" s="93" t="s">
        <v>15</v>
      </c>
    </row>
    <row r="106" spans="1:23" ht="12.9" customHeight="1" x14ac:dyDescent="0.3">
      <c r="F106" s="284"/>
      <c r="G106" s="285"/>
      <c r="H106" s="285"/>
      <c r="I106" s="285"/>
      <c r="J106" s="286"/>
      <c r="R106" s="130" t="str">
        <f>ADDRESS(ROW(E81),COLUMN(E81),4)</f>
        <v>E81</v>
      </c>
      <c r="S106" s="74">
        <f t="shared" ca="1" si="28"/>
        <v>1</v>
      </c>
      <c r="T106" s="77"/>
      <c r="U106" s="74"/>
      <c r="V106" s="92" t="str">
        <f t="shared" si="29"/>
        <v/>
      </c>
      <c r="W106" s="93" t="s">
        <v>15</v>
      </c>
    </row>
    <row r="107" spans="1:23" ht="12.9" customHeight="1" x14ac:dyDescent="0.3">
      <c r="B107" s="293" t="s">
        <v>115</v>
      </c>
      <c r="C107" s="293"/>
      <c r="D107" s="293"/>
      <c r="E107" s="293"/>
      <c r="F107" s="287"/>
      <c r="G107" s="288"/>
      <c r="H107" s="288"/>
      <c r="I107" s="288"/>
      <c r="J107" s="289"/>
      <c r="R107" s="130" t="str">
        <f>ADDRESS(ROW(E87),COLUMN(E87),4)</f>
        <v>E87</v>
      </c>
      <c r="S107" s="74">
        <f t="shared" ca="1" si="28"/>
        <v>1</v>
      </c>
      <c r="T107" s="90" t="str">
        <f>LineBreak&amp;LineBreak&amp;"OUTREACH SERVICE"</f>
        <v xml:space="preserve"> 
OUTREACH SERVICE</v>
      </c>
      <c r="U107" s="94" t="b">
        <f>TRUE</f>
        <v>1</v>
      </c>
      <c r="V107" s="92" t="str">
        <f t="shared" si="29"/>
        <v xml:space="preserve"> 
OUTREACH SERVICE</v>
      </c>
      <c r="W107" s="93"/>
    </row>
    <row r="108" spans="1:23" x14ac:dyDescent="0.3">
      <c r="F108" s="287"/>
      <c r="G108" s="288"/>
      <c r="H108" s="288"/>
      <c r="I108" s="288"/>
      <c r="J108" s="289"/>
      <c r="R108" s="130" t="str">
        <f>ADDRESS(ROW(E87),COLUMN(E87),4)</f>
        <v>E87</v>
      </c>
      <c r="S108" s="74">
        <f ca="1">IF( ISERROR(IF(OR(INDIRECT(R108)=0,INDIRECT(R108)=""),1,0)),"",IF(OR(INDIRECT(R108)=0,INDIRECT(R108)=""),1,0))</f>
        <v>1</v>
      </c>
      <c r="T108" s="77" t="str">
        <f>LineBreak &amp;LineBreak &amp;Indent&amp; "No Outreach service provided?"</f>
        <v xml:space="preserve"> 
                 No Outreach service provided?</v>
      </c>
      <c r="U108" s="94" t="b">
        <f ca="1">SUM(S109:S117)=4</f>
        <v>0</v>
      </c>
      <c r="V108" s="92" t="str">
        <f t="shared" ca="1" si="29"/>
        <v/>
      </c>
      <c r="W108" s="93" t="s">
        <v>15</v>
      </c>
    </row>
    <row r="109" spans="1:23" ht="14.4" thickBot="1" x14ac:dyDescent="0.35">
      <c r="F109" s="290"/>
      <c r="G109" s="291"/>
      <c r="H109" s="291"/>
      <c r="I109" s="291"/>
      <c r="J109" s="292"/>
      <c r="R109" s="130" t="str">
        <f>ADDRESS(ROW(E87),COLUMN(E87),4)</f>
        <v>E87</v>
      </c>
      <c r="S109" s="74">
        <f ca="1">IF(OR(INDIRECT(R109)=0,INDIRECT(R109)=""),1,0)</f>
        <v>1</v>
      </c>
      <c r="T109" s="77" t="str">
        <f ca="1">LineBreak &amp;LineBreak &amp;Indent&amp;IF(S109=1,"No", INDIRECT(R109)&amp;"  ")&amp; "  "&amp;OFFSET(INDIRECT(R109),-1,0)&amp;" do Outreach"</f>
        <v xml:space="preserve"> 
                 No  Band 5 (WTE) do Outreach</v>
      </c>
      <c r="U109" s="94" t="b">
        <f ca="1">AND($U110=FALSE,S109=0)</f>
        <v>0</v>
      </c>
      <c r="V109" s="92" t="str">
        <f t="shared" ca="1" si="29"/>
        <v/>
      </c>
      <c r="W109" s="93"/>
    </row>
    <row r="110" spans="1:23" x14ac:dyDescent="0.3">
      <c r="R110" s="130" t="str">
        <f>ADDRESS(ROW(E87),COLUMN(E87),4)</f>
        <v>E87</v>
      </c>
      <c r="S110" s="74"/>
      <c r="T110" s="77" t="str">
        <f ca="1">LineBreak &amp;LineBreak &amp;Indent&amp;OFFSET(INDIRECT(R109),1,0)</f>
        <v xml:space="preserve"> 
                 </v>
      </c>
      <c r="U110" s="94" t="b">
        <f ca="1">LEN(T110)&gt;30</f>
        <v>0</v>
      </c>
      <c r="V110" s="92" t="str">
        <f t="shared" ca="1" si="29"/>
        <v/>
      </c>
      <c r="W110" s="93"/>
    </row>
    <row r="111" spans="1:23" ht="12.75" customHeight="1" x14ac:dyDescent="0.3">
      <c r="B111" s="221"/>
      <c r="C111" s="221"/>
      <c r="D111" s="221"/>
      <c r="E111" s="179"/>
      <c r="F111" s="179"/>
      <c r="G111" s="179"/>
      <c r="H111" s="179"/>
      <c r="R111" s="130"/>
      <c r="S111" s="74"/>
      <c r="T111" s="77"/>
      <c r="U111" s="94"/>
      <c r="V111" s="92"/>
      <c r="W111" s="93"/>
    </row>
    <row r="112" spans="1:23" ht="22.5" customHeight="1" x14ac:dyDescent="0.3">
      <c r="R112" s="126" t="str">
        <f>ADDRESS(ROW(E81),COLUMN(E81),4)</f>
        <v>E81</v>
      </c>
      <c r="S112" s="74">
        <f t="shared" ca="1" si="24"/>
        <v>1</v>
      </c>
      <c r="T112" s="77" t="str">
        <f>LineBreak &amp;LineBreak &amp;Indent&amp;"Summary WTE by Qualifications and Bands not yet recorded"</f>
        <v xml:space="preserve"> 
                 Summary WTE by Qualifications and Bands not yet recorded</v>
      </c>
      <c r="U112" s="94" t="b">
        <f ca="1">S112=1</f>
        <v>1</v>
      </c>
      <c r="V112" s="92" t="str">
        <f t="shared" ca="1" si="25"/>
        <v xml:space="preserve"> 
                 Summary WTE by Qualifications and Bands not yet recorded  (E81)  - </v>
      </c>
      <c r="W112" s="93" t="s">
        <v>15</v>
      </c>
    </row>
    <row r="113" spans="2:23" ht="22.5" customHeight="1" x14ac:dyDescent="0.3">
      <c r="B113" s="70" t="s">
        <v>119</v>
      </c>
      <c r="C113" s="68"/>
      <c r="D113" s="67"/>
      <c r="E113" s="67"/>
      <c r="F113" s="67"/>
      <c r="G113" s="67"/>
      <c r="H113" s="67"/>
      <c r="I113" s="67"/>
      <c r="J113" s="67"/>
      <c r="K113" s="67"/>
      <c r="R113" s="74"/>
      <c r="S113" s="74"/>
      <c r="T113" s="77" t="str">
        <f>LineBreak &amp;LineBreak &amp;Indent&amp; "So Look for guidance below each Data table column " &amp; LineBreak</f>
        <v xml:space="preserve"> 
                 So Look for guidance below each Data table column  
</v>
      </c>
      <c r="U113" s="94" t="b">
        <f ca="1">OR(U112,U94)</f>
        <v>1</v>
      </c>
      <c r="V113" s="138" t="str">
        <f t="shared" ca="1" si="25"/>
        <v xml:space="preserve"> 
                 So Look for guidance below each Data table column  
</v>
      </c>
      <c r="W113" s="93"/>
    </row>
    <row r="114" spans="2:23" ht="22.5" customHeight="1" x14ac:dyDescent="0.3">
      <c r="R114" s="126" t="str">
        <f>ADDRESS(ROW(E79),COLUMN(E79),4)</f>
        <v>E79</v>
      </c>
      <c r="S114" s="74">
        <f ca="1">IF( ISERROR(IF(OR(INDIRECT(R114)=0,INDIRECT(R114)=""),1,0)),"",IF(OR(INDIRECT(R114)=0,INDIRECT(R114)=""),1,0))</f>
        <v>1</v>
      </c>
      <c r="T114" s="77" t="str">
        <f ca="1">LineBreak &amp;Indent&amp;
IF(S114=1,"No", INDIRECT(R114)&amp;"  ")
&amp; "  "&amp;OFFSET(INDIRECT(R114),-5,0)&amp;" recorded:    "&amp;SUBSTITUTE(OFFSET(INDIRECT(R114),1,0),"
","    ",1)</f>
        <v xml:space="preserve"> 
                 No  Bands 1-2
(as WTE) recorded:    Correct total</v>
      </c>
      <c r="U114" s="94" t="b">
        <f t="shared" ref="U114:U120" ca="1" si="30">LEN(OFFSET(INDIRECT(R114),1,0))&gt;18</f>
        <v>0</v>
      </c>
      <c r="V114" s="92" t="str">
        <f t="shared" ca="1" si="25"/>
        <v/>
      </c>
      <c r="W114" s="93"/>
    </row>
    <row r="115" spans="2:23" ht="22.5" customHeight="1" x14ac:dyDescent="0.3">
      <c r="R115" s="126" t="str">
        <f>ADDRESS(ROW(F79),COLUMN(F79),4)</f>
        <v>F79</v>
      </c>
      <c r="S115" s="74">
        <f ca="1">IF( ISERROR(IF(OR(INDIRECT(R115)=0,INDIRECT(R115)=""),1,0)),"",IF(OR(INDIRECT(R115)=0,INDIRECT(R115)=""),1,0))</f>
        <v>1</v>
      </c>
      <c r="T115" s="77" t="str">
        <f ca="1">LineBreak &amp;Indent&amp;
IF(S115=1,"No", INDIRECT(R115)&amp;"  ")
&amp; "  "&amp;OFFSET(INDIRECT(R115),-5,0)&amp;" recorded:    "&amp;SUBSTITUTE(OFFSET(INDIRECT(R115),1,0),"
","    ",1)</f>
        <v xml:space="preserve"> 
                 No  Band 3
(as WTE) recorded:    Correct total</v>
      </c>
      <c r="U115" s="94" t="b">
        <f t="shared" ca="1" si="30"/>
        <v>0</v>
      </c>
      <c r="V115" s="92"/>
      <c r="W115" s="93"/>
    </row>
    <row r="116" spans="2:23" ht="22.5" customHeight="1" x14ac:dyDescent="0.3">
      <c r="R116" s="126" t="str">
        <f>ADDRESS(ROW(G79),COLUMN(G79),4)</f>
        <v>G79</v>
      </c>
      <c r="S116" s="74">
        <f t="shared" ca="1" si="24"/>
        <v>1</v>
      </c>
      <c r="T116" s="77" t="str">
        <f ca="1">LineBreak &amp;Indent&amp;IF(S116=1,"No", INDIRECT(R116)&amp;"  ")&amp; "  "&amp;OFFSET(INDIRECT(R116),-5,0)&amp;" recorded:    "&amp;SUBSTITUTE(OFFSET(INDIRECT(R116),1,0),"
","    ",1)</f>
        <v xml:space="preserve"> 
                 No  Band 4 
(as WTE) recorded:    Correct total</v>
      </c>
      <c r="U116" s="94" t="b">
        <f t="shared" ca="1" si="30"/>
        <v>0</v>
      </c>
      <c r="V116" s="92" t="str">
        <f t="shared" ca="1" si="25"/>
        <v/>
      </c>
      <c r="W116" s="93"/>
    </row>
    <row r="117" spans="2:23" ht="22.5" customHeight="1" x14ac:dyDescent="0.3">
      <c r="R117" s="126" t="str">
        <f>ADDRESS(ROW(H79),COLUMN(H79),4)</f>
        <v>H79</v>
      </c>
      <c r="S117" s="74">
        <f t="shared" ca="1" si="24"/>
        <v>1</v>
      </c>
      <c r="T117" s="77" t="str">
        <f ca="1">LineBreak &amp;Indent&amp;IF(S117=1,"No", INDIRECT(R117)&amp;"  ")&amp; "  "&amp;OFFSET(INDIRECT(R117),-5,0)&amp;" recorded:    "&amp;SUBSTITUTE(OFFSET(INDIRECT(R117),1,0),"
","    ",1)</f>
        <v xml:space="preserve"> 
                 No  Band 5
(as WTE) recorded:    Correct total</v>
      </c>
      <c r="U117" s="94" t="b">
        <f t="shared" ca="1" si="30"/>
        <v>0</v>
      </c>
      <c r="V117" s="92" t="str">
        <f t="shared" ca="1" si="25"/>
        <v/>
      </c>
      <c r="W117" s="93"/>
    </row>
    <row r="118" spans="2:23" ht="20.25" customHeight="1" x14ac:dyDescent="0.3">
      <c r="R118" s="126" t="str">
        <f>ADDRESS(ROW(I79),COLUMN(I79),4)</f>
        <v>I79</v>
      </c>
      <c r="S118" s="74">
        <f t="shared" ca="1" si="24"/>
        <v>1</v>
      </c>
      <c r="T118" s="77" t="str">
        <f ca="1">LineBreak &amp;Indent&amp;IF(S118=1,"No", INDIRECT(R118)&amp;"  ")&amp; "  "&amp;OFFSET(INDIRECT(R118),-5,0)&amp;" recorded:    "&amp;SUBSTITUTE(OFFSET(INDIRECT(R118),1,0),"
","    ",1)</f>
        <v xml:space="preserve"> 
                 No  Band 6
(as WTE) recorded:    Correct total</v>
      </c>
      <c r="U118" s="94" t="b">
        <f t="shared" ca="1" si="30"/>
        <v>0</v>
      </c>
      <c r="V118" s="92" t="str">
        <f t="shared" ca="1" si="25"/>
        <v/>
      </c>
      <c r="W118" s="93"/>
    </row>
    <row r="119" spans="2:23" ht="17.25" customHeight="1" x14ac:dyDescent="0.3">
      <c r="R119" s="126" t="str">
        <f>ADDRESS(ROW(J79),COLUMN(J79),4)</f>
        <v>J79</v>
      </c>
      <c r="S119" s="74">
        <f t="shared" ca="1" si="24"/>
        <v>1</v>
      </c>
      <c r="T119" s="77" t="str">
        <f ca="1">LineBreak &amp;Indent&amp;IF(S119=1,"No", INDIRECT(R119)&amp;"  ")&amp; "  "&amp;OFFSET(INDIRECT(R119),-5,0)&amp;" recorded:    "&amp;SUBSTITUTE(OFFSET(INDIRECT(R119),1,0),"
","    ",1)</f>
        <v xml:space="preserve"> 
                 No  Band 7 
(as WTE) recorded:    Correct total</v>
      </c>
      <c r="U119" s="94" t="b">
        <f t="shared" ca="1" si="30"/>
        <v>0</v>
      </c>
      <c r="V119" s="92" t="str">
        <f t="shared" ca="1" si="25"/>
        <v/>
      </c>
      <c r="W119" s="93"/>
    </row>
    <row r="120" spans="2:23" ht="17.25" customHeight="1" x14ac:dyDescent="0.3">
      <c r="R120" s="126" t="str">
        <f>ADDRESS(ROW(K79),COLUMN(K79),4)</f>
        <v>K79</v>
      </c>
      <c r="S120" s="74">
        <f t="shared" ca="1" si="24"/>
        <v>1</v>
      </c>
      <c r="T120" s="77" t="str">
        <f ca="1">LineBreak &amp;Indent&amp;IF(S120=1,"No", INDIRECT(R120)&amp;"  ")&amp; "  "&amp;OFFSET(INDIRECT(R120),-5,0)&amp;" recorded:    "&amp;SUBSTITUTE(OFFSET(INDIRECT(R120),1,0),"
","    ",1)</f>
        <v xml:space="preserve"> 
                 No  Band 8a+
(as WTE) recorded:    Correct total</v>
      </c>
      <c r="U120" s="94" t="b">
        <f t="shared" ca="1" si="30"/>
        <v>0</v>
      </c>
      <c r="V120" s="92" t="str">
        <f t="shared" ca="1" si="25"/>
        <v/>
      </c>
      <c r="W120" s="93" t="s">
        <v>15</v>
      </c>
    </row>
    <row r="121" spans="2:23" ht="17.25" customHeight="1" x14ac:dyDescent="0.3">
      <c r="R121" s="130" t="str">
        <f>ADDRESS(ROW(E81),COLUMN(E81),4)</f>
        <v>E81</v>
      </c>
      <c r="S121" s="74">
        <f t="shared" ca="1" si="24"/>
        <v>1</v>
      </c>
      <c r="T121" s="77" t="str">
        <f>LineBreak&amp;LineBreak&amp;Indent&amp;Indent&amp;" - DATA APPEARS COMPLETE - "</f>
        <v xml:space="preserve"> 
                                   - DATA APPEARS COMPLETE - </v>
      </c>
      <c r="U121" s="94" t="b">
        <f ca="1">IF(OR(U94:U120),FALSE,TRUE)</f>
        <v>0</v>
      </c>
      <c r="V121" s="92" t="str">
        <f t="shared" ca="1" si="25"/>
        <v/>
      </c>
      <c r="W121" s="93"/>
    </row>
    <row r="122" spans="2:23" ht="17.25" customHeight="1" x14ac:dyDescent="0.3">
      <c r="R122" s="130" t="str">
        <f>ADDRESS(ROW(E81),COLUMN(E81),4)</f>
        <v>E81</v>
      </c>
      <c r="S122" s="74">
        <f t="shared" ca="1" si="24"/>
        <v>1</v>
      </c>
      <c r="T122" s="77"/>
      <c r="U122" s="74"/>
      <c r="V122" s="92" t="str">
        <f t="shared" si="25"/>
        <v/>
      </c>
      <c r="W122" s="93" t="s">
        <v>15</v>
      </c>
    </row>
    <row r="123" spans="2:23" x14ac:dyDescent="0.3">
      <c r="R123" s="130" t="str">
        <f>ADDRESS(ROW(E81),COLUMN(E81),4)</f>
        <v>E81</v>
      </c>
      <c r="S123" s="74">
        <f t="shared" ca="1" si="24"/>
        <v>1</v>
      </c>
      <c r="T123" s="77"/>
      <c r="U123" s="74"/>
      <c r="V123" s="92" t="str">
        <f t="shared" si="25"/>
        <v/>
      </c>
      <c r="W123" s="93" t="s">
        <v>15</v>
      </c>
    </row>
    <row r="124" spans="2:23" x14ac:dyDescent="0.3">
      <c r="R124" s="130" t="str">
        <f>ADDRESS(ROW(E87),COLUMN(E87),4)</f>
        <v>E87</v>
      </c>
      <c r="S124" s="74">
        <f t="shared" ca="1" si="24"/>
        <v>1</v>
      </c>
      <c r="T124" s="90" t="str">
        <f>LineBreak&amp;LineBreak&amp;"OUTREACH SERVICE"</f>
        <v xml:space="preserve"> 
OUTREACH SERVICE</v>
      </c>
      <c r="U124" s="94" t="b">
        <f>TRUE</f>
        <v>1</v>
      </c>
      <c r="V124" s="92" t="str">
        <f t="shared" si="25"/>
        <v xml:space="preserve"> 
OUTREACH SERVICE</v>
      </c>
      <c r="W124" s="93"/>
    </row>
    <row r="125" spans="2:23" x14ac:dyDescent="0.3">
      <c r="R125" s="130" t="str">
        <f>ADDRESS(ROW(E87),COLUMN(E87),4)</f>
        <v>E87</v>
      </c>
      <c r="S125" s="74">
        <f ca="1">IF( ISERROR(IF(OR(INDIRECT(R125)=0,INDIRECT(R125)=""),1,0)),"",IF(OR(INDIRECT(R125)=0,INDIRECT(R125)=""),1,0))</f>
        <v>1</v>
      </c>
      <c r="T125" s="77" t="str">
        <f>LineBreak &amp;LineBreak &amp;Indent&amp; "No Outreach service provided?"</f>
        <v xml:space="preserve"> 
                 No Outreach service provided?</v>
      </c>
      <c r="U125" s="94" t="b">
        <f ca="1">SUM(S126:S133)=4</f>
        <v>1</v>
      </c>
      <c r="V125" s="92" t="str">
        <f t="shared" ca="1" si="25"/>
        <v xml:space="preserve"> 
                 No Outreach service provided?  (E87)  - </v>
      </c>
      <c r="W125" s="93" t="s">
        <v>15</v>
      </c>
    </row>
    <row r="126" spans="2:23" x14ac:dyDescent="0.3">
      <c r="R126" s="130" t="str">
        <f>ADDRESS(ROW(E87),COLUMN(E87),4)</f>
        <v>E87</v>
      </c>
      <c r="S126" s="74">
        <f ca="1">IF(OR(INDIRECT(R126)=0,INDIRECT(R126)=""),1,0)</f>
        <v>1</v>
      </c>
      <c r="T126" s="77" t="str">
        <f ca="1">LineBreak &amp;LineBreak &amp;Indent&amp;IF(S126=1,"No", INDIRECT(R126)&amp;"  ")&amp; "  "&amp;OFFSET(INDIRECT(R126),-1,0)&amp;" do Outreach"</f>
        <v xml:space="preserve"> 
                 No  Band 5 (WTE) do Outreach</v>
      </c>
      <c r="U126" s="94" t="b">
        <f ca="1">AND($U127=FALSE,S126=0)</f>
        <v>0</v>
      </c>
      <c r="V126" s="92" t="str">
        <f t="shared" ca="1" si="25"/>
        <v/>
      </c>
      <c r="W126" s="93"/>
    </row>
    <row r="127" spans="2:23" x14ac:dyDescent="0.3">
      <c r="R127" s="130" t="str">
        <f>ADDRESS(ROW(E87),COLUMN(E87),4)</f>
        <v>E87</v>
      </c>
      <c r="S127" s="74"/>
      <c r="T127" s="77" t="str">
        <f ca="1">LineBreak &amp;LineBreak &amp;Indent&amp;OFFSET(INDIRECT(R126),1,0)</f>
        <v xml:space="preserve"> 
                 </v>
      </c>
      <c r="U127" s="94" t="b">
        <f ca="1">LEN(T127)&gt;30</f>
        <v>0</v>
      </c>
      <c r="V127" s="92" t="str">
        <f t="shared" ca="1" si="25"/>
        <v/>
      </c>
      <c r="W127" s="93"/>
    </row>
    <row r="128" spans="2:23" x14ac:dyDescent="0.3">
      <c r="R128" s="126" t="str">
        <f>ADDRESS(ROW(F87),COLUMN(F87),4)</f>
        <v>F87</v>
      </c>
      <c r="S128" s="74">
        <f ca="1">IF(OR(INDIRECT(R128)=0,INDIRECT(R128)=""),1,0)</f>
        <v>1</v>
      </c>
      <c r="T128" s="77" t="str">
        <f ca="1">LineBreak &amp;LineBreak &amp;Indent&amp;IF(S128=1,"No", INDIRECT(R128)&amp;"  ")&amp; "  "&amp;OFFSET(INDIRECT(R128),-1,0)&amp;" do Outreach"</f>
        <v xml:space="preserve"> 
                 No  Band 6 (WTE) do Outreach</v>
      </c>
      <c r="U128" s="94" t="b">
        <f t="shared" ref="U128" ca="1" si="31">AND($U129=FALSE,S128=0)</f>
        <v>0</v>
      </c>
      <c r="V128" s="92" t="str">
        <f t="shared" ca="1" si="25"/>
        <v/>
      </c>
      <c r="W128" s="93"/>
    </row>
    <row r="129" spans="18:24" x14ac:dyDescent="0.3">
      <c r="R129" s="126" t="str">
        <f>ADDRESS(ROW(F87),COLUMN(F87),4)</f>
        <v>F87</v>
      </c>
      <c r="S129" s="74"/>
      <c r="T129" s="77" t="str">
        <f ca="1">LineBreak &amp;LineBreak &amp;Indent&amp;OFFSET(INDIRECT(R128),1,0)</f>
        <v xml:space="preserve"> 
                 </v>
      </c>
      <c r="U129" s="94" t="b">
        <f t="shared" ref="U129" ca="1" si="32">LEN(T129)&gt;30</f>
        <v>0</v>
      </c>
      <c r="V129" s="92" t="str">
        <f t="shared" ca="1" si="25"/>
        <v/>
      </c>
      <c r="W129" s="93"/>
    </row>
    <row r="130" spans="18:24" x14ac:dyDescent="0.3">
      <c r="R130" s="126" t="str">
        <f>ADDRESS(ROW(G87),COLUMN(G87),4)</f>
        <v>G87</v>
      </c>
      <c r="S130" s="74">
        <f ca="1">IF(OR(INDIRECT(R130)=0,INDIRECT(R130)=""),1,0)</f>
        <v>1</v>
      </c>
      <c r="T130" s="77" t="str">
        <f ca="1">LineBreak &amp;LineBreak &amp;Indent&amp;IF(S130=1,"No", INDIRECT(R130)&amp;"  ")&amp; "  "&amp;OFFSET(INDIRECT(R130),-1,0)&amp;" do Outreach"</f>
        <v xml:space="preserve"> 
                 No  Band 7  (WTE) do Outreach</v>
      </c>
      <c r="U130" s="94" t="b">
        <f t="shared" ref="U130" ca="1" si="33">AND($U131=FALSE,S130=0)</f>
        <v>0</v>
      </c>
      <c r="V130" s="92" t="str">
        <f t="shared" ca="1" si="25"/>
        <v/>
      </c>
      <c r="W130" s="93"/>
    </row>
    <row r="131" spans="18:24" x14ac:dyDescent="0.3">
      <c r="R131" s="126" t="str">
        <f>ADDRESS(ROW(G87),COLUMN(G87),4)</f>
        <v>G87</v>
      </c>
      <c r="S131" s="74"/>
      <c r="T131" s="77" t="str">
        <f ca="1">LineBreak &amp;LineBreak &amp;Indent&amp;OFFSET(INDIRECT(R130),1,0)</f>
        <v xml:space="preserve"> 
                 </v>
      </c>
      <c r="U131" s="94" t="b">
        <f t="shared" ref="U131" ca="1" si="34">LEN(T131)&gt;30</f>
        <v>0</v>
      </c>
      <c r="V131" s="92" t="str">
        <f t="shared" ca="1" si="25"/>
        <v/>
      </c>
      <c r="W131" s="93"/>
    </row>
    <row r="132" spans="18:24" x14ac:dyDescent="0.3">
      <c r="R132" s="126" t="str">
        <f>ADDRESS(ROW(H87),COLUMN(H87),4)</f>
        <v>H87</v>
      </c>
      <c r="S132" s="74">
        <f ca="1">IF(OR(INDIRECT(R132)=0,INDIRECT(R132)=""),1,0)</f>
        <v>1</v>
      </c>
      <c r="T132" s="77" t="str">
        <f ca="1">LineBreak &amp;LineBreak &amp;Indent&amp;IF(S132=1,"No", INDIRECT(R132)&amp;"  ")&amp; "  "&amp;OFFSET(INDIRECT(R132),-1,0)&amp;" do Outreach"</f>
        <v xml:space="preserve"> 
                 No  Band 8a+ (WTE) do Outreach</v>
      </c>
      <c r="U132" s="94" t="b">
        <f t="shared" ref="U132" ca="1" si="35">AND($U133=FALSE,S132=0)</f>
        <v>0</v>
      </c>
      <c r="V132" s="92" t="str">
        <f t="shared" ca="1" si="25"/>
        <v/>
      </c>
      <c r="W132" s="93"/>
    </row>
    <row r="133" spans="18:24" x14ac:dyDescent="0.3">
      <c r="R133" s="126" t="str">
        <f>ADDRESS(ROW(H87),COLUMN(H87),4)</f>
        <v>H87</v>
      </c>
      <c r="S133" s="74"/>
      <c r="T133" s="77" t="str">
        <f ca="1">LineBreak &amp;LineBreak &amp;Indent&amp;OFFSET(INDIRECT(R132),1,0)</f>
        <v xml:space="preserve"> 
                 </v>
      </c>
      <c r="U133" s="94" t="b">
        <f t="shared" ref="U133" ca="1" si="36">LEN(T133)&gt;30</f>
        <v>0</v>
      </c>
      <c r="V133" s="92" t="str">
        <f t="shared" ca="1" si="25"/>
        <v/>
      </c>
      <c r="W133" s="93"/>
    </row>
    <row r="134" spans="18:24" x14ac:dyDescent="0.3">
      <c r="R134" s="74"/>
      <c r="S134" s="74"/>
      <c r="T134" s="77"/>
      <c r="U134" s="74"/>
      <c r="V134" s="92" t="str">
        <f t="shared" si="25"/>
        <v/>
      </c>
      <c r="W134" s="93"/>
    </row>
    <row r="135" spans="18:24" x14ac:dyDescent="0.3">
      <c r="R135" s="74"/>
      <c r="S135" s="74"/>
      <c r="T135" s="77"/>
      <c r="U135" s="74"/>
      <c r="V135" s="92" t="str">
        <f t="shared" si="25"/>
        <v/>
      </c>
      <c r="W135" s="93"/>
    </row>
    <row r="136" spans="18:24" ht="27" customHeight="1" x14ac:dyDescent="0.3">
      <c r="R136" s="126" t="str">
        <f>ADDRESS(ROW(F91),COLUMN(F91),4)</f>
        <v>F91</v>
      </c>
      <c r="S136" s="74"/>
      <c r="T136" s="77" t="str">
        <f>LineBreak&amp;LineBreak&amp;Indent&amp;"COMMENTS?"&amp;LineBreak&amp;LineBreak &amp;Indent&amp;"Any additional Comments about Outreach Service?"</f>
        <v xml:space="preserve"> 
                 COMMENTS? 
                 Any additional Comments about Outreach Service?</v>
      </c>
      <c r="U136" s="74" t="b">
        <f ca="1">AND(U125=FALSE,OR(LEFT(INDIRECT(R136),4)="E.g.",TRIM(INDIRECT(R136))=""))</f>
        <v>0</v>
      </c>
      <c r="V136" s="92" t="str">
        <f t="shared" ca="1" si="25"/>
        <v/>
      </c>
      <c r="W136" s="93"/>
    </row>
    <row r="137" spans="18:24" x14ac:dyDescent="0.3">
      <c r="R137" s="126" t="str">
        <f>ADDRESS(ROW(F91),COLUMN(F91),4)</f>
        <v>F91</v>
      </c>
      <c r="S137" s="74"/>
      <c r="T137" s="77" t="str">
        <f ca="1">LineBreak&amp;LineBreak&amp;Indent&amp;"Comment Submitted:"&amp;LineBreak&amp;LineBreak&amp;Indent&amp;Indent&amp;LEFT(INDIRECT(R137),50)&amp;"…."&amp;LineBreak</f>
        <v xml:space="preserve"> 
                 Comment Submitted: 
                                  …. 
</v>
      </c>
      <c r="U137" s="74" t="b">
        <f ca="1">AND(U136=FALSE,U125=FALSE)</f>
        <v>0</v>
      </c>
      <c r="V137" s="92" t="str">
        <f t="shared" ca="1" si="25"/>
        <v/>
      </c>
      <c r="W137" s="93"/>
      <c r="X137" s="185"/>
    </row>
    <row r="138" spans="18:24" x14ac:dyDescent="0.3">
      <c r="R138" s="74"/>
      <c r="S138" s="74"/>
      <c r="T138" s="77"/>
      <c r="U138" s="74"/>
      <c r="V138" s="92" t="str">
        <f t="shared" si="25"/>
        <v/>
      </c>
      <c r="W138" s="93"/>
      <c r="X138" s="185"/>
    </row>
    <row r="139" spans="18:24" x14ac:dyDescent="0.3">
      <c r="R139" s="74"/>
      <c r="S139" s="74"/>
      <c r="T139" s="77"/>
      <c r="U139" s="74"/>
      <c r="V139" s="92" t="str">
        <f t="shared" si="25"/>
        <v/>
      </c>
      <c r="W139" s="93"/>
      <c r="X139" s="185"/>
    </row>
    <row r="140" spans="18:24" x14ac:dyDescent="0.3">
      <c r="R140" s="74"/>
      <c r="S140" s="74"/>
      <c r="T140" s="77"/>
      <c r="U140" s="74"/>
      <c r="V140" s="92" t="str">
        <f t="shared" si="25"/>
        <v/>
      </c>
      <c r="W140" s="93"/>
      <c r="X140" s="185"/>
    </row>
    <row r="141" spans="18:24" x14ac:dyDescent="0.3">
      <c r="R141" s="74"/>
      <c r="S141" s="74"/>
      <c r="T141" s="77"/>
      <c r="U141" s="74"/>
      <c r="V141" s="92" t="str">
        <f t="shared" si="25"/>
        <v/>
      </c>
      <c r="W141" s="93"/>
      <c r="X141" s="185"/>
    </row>
    <row r="142" spans="18:24" x14ac:dyDescent="0.3">
      <c r="R142" s="74"/>
      <c r="S142" s="74"/>
      <c r="T142" s="77"/>
      <c r="U142" s="74"/>
      <c r="V142" s="92" t="str">
        <f t="shared" si="25"/>
        <v/>
      </c>
      <c r="W142" s="93"/>
      <c r="X142" s="185"/>
    </row>
    <row r="143" spans="18:24" x14ac:dyDescent="0.3">
      <c r="R143" s="74"/>
      <c r="S143" s="74"/>
      <c r="T143" s="77"/>
      <c r="U143" s="74"/>
      <c r="V143" s="92" t="str">
        <f t="shared" si="25"/>
        <v/>
      </c>
      <c r="W143" s="93"/>
      <c r="X143" s="185"/>
    </row>
    <row r="144" spans="18:24" x14ac:dyDescent="0.3">
      <c r="R144" s="185"/>
      <c r="S144" s="185"/>
      <c r="U144" s="185"/>
      <c r="V144" s="185"/>
      <c r="W144" s="185"/>
      <c r="X144" s="185"/>
    </row>
    <row r="145" spans="18:24" x14ac:dyDescent="0.3">
      <c r="R145" s="185"/>
      <c r="S145" s="185"/>
      <c r="U145" s="185"/>
      <c r="V145" s="185"/>
      <c r="W145" s="185"/>
      <c r="X145" s="185"/>
    </row>
    <row r="146" spans="18:24" x14ac:dyDescent="0.3">
      <c r="R146" s="185"/>
      <c r="S146" s="185"/>
      <c r="U146" s="185"/>
      <c r="V146" s="185"/>
      <c r="W146" s="185"/>
      <c r="X146" s="185"/>
    </row>
    <row r="147" spans="18:24" x14ac:dyDescent="0.3">
      <c r="R147" s="185"/>
      <c r="S147" s="185"/>
      <c r="U147" s="185"/>
      <c r="V147" s="185"/>
      <c r="W147" s="185"/>
      <c r="X147" s="185"/>
    </row>
    <row r="148" spans="18:24" x14ac:dyDescent="0.3">
      <c r="R148" s="185"/>
      <c r="S148" s="185"/>
      <c r="U148" s="185"/>
      <c r="V148" s="185"/>
      <c r="W148" s="185"/>
      <c r="X148" s="185"/>
    </row>
    <row r="149" spans="18:24" x14ac:dyDescent="0.3">
      <c r="R149" s="185"/>
      <c r="S149" s="185"/>
      <c r="U149" s="185"/>
      <c r="V149" s="185"/>
      <c r="W149" s="185"/>
      <c r="X149" s="185"/>
    </row>
    <row r="150" spans="18:24" x14ac:dyDescent="0.3">
      <c r="R150" s="185"/>
      <c r="S150" s="185"/>
      <c r="U150" s="185"/>
      <c r="V150" s="185"/>
      <c r="W150" s="185"/>
      <c r="X150" s="185"/>
    </row>
    <row r="151" spans="18:24" x14ac:dyDescent="0.3">
      <c r="R151" s="185"/>
      <c r="S151" s="185"/>
      <c r="U151" s="185"/>
      <c r="V151" s="185"/>
      <c r="W151" s="185"/>
    </row>
    <row r="152" spans="18:24" x14ac:dyDescent="0.3">
      <c r="R152" s="185"/>
      <c r="S152" s="185"/>
      <c r="U152" s="185"/>
      <c r="V152" s="185"/>
      <c r="W152" s="185"/>
    </row>
    <row r="153" spans="18:24" x14ac:dyDescent="0.3">
      <c r="R153" s="185"/>
      <c r="S153" s="185"/>
      <c r="U153" s="185"/>
      <c r="V153" s="185"/>
      <c r="W153" s="185"/>
    </row>
    <row r="154" spans="18:24" x14ac:dyDescent="0.3">
      <c r="R154" s="185"/>
      <c r="S154" s="185"/>
      <c r="U154" s="185"/>
      <c r="V154" s="185"/>
      <c r="W154" s="185"/>
    </row>
    <row r="155" spans="18:24" x14ac:dyDescent="0.3">
      <c r="R155" s="185"/>
      <c r="S155" s="185"/>
      <c r="U155" s="185"/>
      <c r="V155" s="185"/>
      <c r="W155" s="185"/>
    </row>
    <row r="156" spans="18:24" x14ac:dyDescent="0.3">
      <c r="R156" s="185"/>
      <c r="S156" s="185"/>
      <c r="U156" s="185"/>
      <c r="V156" s="185"/>
      <c r="W156" s="185"/>
    </row>
    <row r="157" spans="18:24" x14ac:dyDescent="0.3">
      <c r="R157" s="185"/>
      <c r="S157" s="185"/>
      <c r="U157" s="185"/>
      <c r="V157" s="185"/>
      <c r="W157" s="185"/>
    </row>
  </sheetData>
  <sheetProtection algorithmName="SHA-512" hashValue="yZBax9DeUqf1vWhXg8JXhzrJnm0lIjSLxaOLlhL53IJ1U+R1/cXKLRqn4UAX6u7q1x+VKzn6aLb8zYCCDMGsQQ==" saltValue="hHiv5fANiJC09FZkUIWYWA==" spinCount="100000" sheet="1" selectLockedCells="1"/>
  <mergeCells count="122">
    <mergeCell ref="D98:J98"/>
    <mergeCell ref="B97:C97"/>
    <mergeCell ref="B99:B100"/>
    <mergeCell ref="F106:J109"/>
    <mergeCell ref="B107:E107"/>
    <mergeCell ref="G5:J5"/>
    <mergeCell ref="B15:C15"/>
    <mergeCell ref="F16:F17"/>
    <mergeCell ref="G16:J17"/>
    <mergeCell ref="C5:F5"/>
    <mergeCell ref="A9:B9"/>
    <mergeCell ref="C6:F6"/>
    <mergeCell ref="A16:C16"/>
    <mergeCell ref="A17:C17"/>
    <mergeCell ref="C7:F7"/>
    <mergeCell ref="D16:E17"/>
    <mergeCell ref="B27:C27"/>
    <mergeCell ref="D27:E27"/>
    <mergeCell ref="D33:E33"/>
    <mergeCell ref="A34:J34"/>
    <mergeCell ref="B33:C33"/>
    <mergeCell ref="B38:D38"/>
    <mergeCell ref="B32:C32"/>
    <mergeCell ref="G69:J69"/>
    <mergeCell ref="B18:C18"/>
    <mergeCell ref="D25:E25"/>
    <mergeCell ref="B26:C26"/>
    <mergeCell ref="B23:C23"/>
    <mergeCell ref="B24:C24"/>
    <mergeCell ref="B25:C25"/>
    <mergeCell ref="B22:C22"/>
    <mergeCell ref="D32:E32"/>
    <mergeCell ref="G32:J32"/>
    <mergeCell ref="G27:J27"/>
    <mergeCell ref="B30:C30"/>
    <mergeCell ref="D30:E30"/>
    <mergeCell ref="G30:J30"/>
    <mergeCell ref="B31:C31"/>
    <mergeCell ref="D31:E31"/>
    <mergeCell ref="G31:J31"/>
    <mergeCell ref="D23:E23"/>
    <mergeCell ref="G24:J24"/>
    <mergeCell ref="B43:D43"/>
    <mergeCell ref="B47:D47"/>
    <mergeCell ref="B46:D46"/>
    <mergeCell ref="C54:D54"/>
    <mergeCell ref="G47:J47"/>
    <mergeCell ref="B52:D52"/>
    <mergeCell ref="B50:D50"/>
    <mergeCell ref="B51:D51"/>
    <mergeCell ref="B39:D39"/>
    <mergeCell ref="C53:D53"/>
    <mergeCell ref="F49:L49"/>
    <mergeCell ref="G46:J46"/>
    <mergeCell ref="F91:J94"/>
    <mergeCell ref="B92:E92"/>
    <mergeCell ref="E85:H85"/>
    <mergeCell ref="B28:C28"/>
    <mergeCell ref="D28:E28"/>
    <mergeCell ref="G28:J28"/>
    <mergeCell ref="B29:C29"/>
    <mergeCell ref="D29:E29"/>
    <mergeCell ref="G29:J29"/>
    <mergeCell ref="B40:D40"/>
    <mergeCell ref="B36:D36"/>
    <mergeCell ref="B37:D37"/>
    <mergeCell ref="B49:D49"/>
    <mergeCell ref="B82:D82"/>
    <mergeCell ref="G33:J33"/>
    <mergeCell ref="B72:D72"/>
    <mergeCell ref="B73:D74"/>
    <mergeCell ref="B76:D76"/>
    <mergeCell ref="B65:D65"/>
    <mergeCell ref="B60:D60"/>
    <mergeCell ref="B61:D61"/>
    <mergeCell ref="B62:D62"/>
    <mergeCell ref="C58:D58"/>
    <mergeCell ref="C55:D55"/>
    <mergeCell ref="B88:D88"/>
    <mergeCell ref="F70:K70"/>
    <mergeCell ref="F81:K81"/>
    <mergeCell ref="G65:J65"/>
    <mergeCell ref="G66:J66"/>
    <mergeCell ref="G26:J26"/>
    <mergeCell ref="D26:E26"/>
    <mergeCell ref="A4:C4"/>
    <mergeCell ref="B21:C21"/>
    <mergeCell ref="G18:J18"/>
    <mergeCell ref="D18:E18"/>
    <mergeCell ref="G19:J19"/>
    <mergeCell ref="G20:J20"/>
    <mergeCell ref="G25:J25"/>
    <mergeCell ref="G22:J22"/>
    <mergeCell ref="G23:J23"/>
    <mergeCell ref="D24:E24"/>
    <mergeCell ref="G21:J21"/>
    <mergeCell ref="D19:E19"/>
    <mergeCell ref="B19:C19"/>
    <mergeCell ref="B20:C20"/>
    <mergeCell ref="D21:E21"/>
    <mergeCell ref="D20:E20"/>
    <mergeCell ref="D22:E22"/>
    <mergeCell ref="F62:J62"/>
    <mergeCell ref="C59:D59"/>
    <mergeCell ref="F63:J63"/>
    <mergeCell ref="C56:D56"/>
    <mergeCell ref="B86:C87"/>
    <mergeCell ref="B71:D71"/>
    <mergeCell ref="B80:D80"/>
    <mergeCell ref="B63:D63"/>
    <mergeCell ref="B75:D75"/>
    <mergeCell ref="B68:D68"/>
    <mergeCell ref="B69:D69"/>
    <mergeCell ref="B70:D70"/>
    <mergeCell ref="B66:D66"/>
    <mergeCell ref="C57:D57"/>
    <mergeCell ref="G68:J68"/>
    <mergeCell ref="E73:P73"/>
    <mergeCell ref="B77:D77"/>
    <mergeCell ref="B81:D81"/>
    <mergeCell ref="B79:D79"/>
    <mergeCell ref="B67:D67"/>
  </mergeCells>
  <phoneticPr fontId="0" type="noConversion"/>
  <conditionalFormatting sqref="E38:E40 E53:E60 G53:G60 F60 G75:K79 E75:E79 E42 E44:E48">
    <cfRule type="cellIs" dxfId="24" priority="152" stopIfTrue="1" operator="equal">
      <formula>0</formula>
    </cfRule>
  </conditionalFormatting>
  <conditionalFormatting sqref="I53:I59">
    <cfRule type="cellIs" dxfId="23" priority="92" stopIfTrue="1" operator="equal">
      <formula>0</formula>
    </cfRule>
  </conditionalFormatting>
  <conditionalFormatting sqref="L75:L78">
    <cfRule type="cellIs" dxfId="22" priority="87" stopIfTrue="1" operator="equal">
      <formula>0</formula>
    </cfRule>
  </conditionalFormatting>
  <conditionalFormatting sqref="H53:H59">
    <cfRule type="cellIs" dxfId="21" priority="82" stopIfTrue="1" operator="equal">
      <formula>0</formula>
    </cfRule>
  </conditionalFormatting>
  <conditionalFormatting sqref="G66:J66">
    <cfRule type="expression" dxfId="20" priority="77">
      <formula>LEN($G$65)&gt;2</formula>
    </cfRule>
  </conditionalFormatting>
  <conditionalFormatting sqref="M75:O78">
    <cfRule type="cellIs" dxfId="19" priority="75" stopIfTrue="1" operator="equal">
      <formula>0</formula>
    </cfRule>
  </conditionalFormatting>
  <conditionalFormatting sqref="E66:E69">
    <cfRule type="cellIs" dxfId="18" priority="71" stopIfTrue="1" operator="equal">
      <formula>0</formula>
    </cfRule>
  </conditionalFormatting>
  <conditionalFormatting sqref="G68:J68">
    <cfRule type="expression" dxfId="17" priority="70">
      <formula>LEN($G$65)&gt;2</formula>
    </cfRule>
  </conditionalFormatting>
  <conditionalFormatting sqref="E81">
    <cfRule type="cellIs" dxfId="16" priority="68" stopIfTrue="1" operator="equal">
      <formula>0</formula>
    </cfRule>
  </conditionalFormatting>
  <conditionalFormatting sqref="E70">
    <cfRule type="cellIs" dxfId="15" priority="67" stopIfTrue="1" operator="equal">
      <formula>0</formula>
    </cfRule>
  </conditionalFormatting>
  <conditionalFormatting sqref="E62:E63">
    <cfRule type="cellIs" dxfId="14" priority="66" stopIfTrue="1" operator="equal">
      <formula>0</formula>
    </cfRule>
  </conditionalFormatting>
  <conditionalFormatting sqref="E87:H87">
    <cfRule type="cellIs" dxfId="13" priority="64" stopIfTrue="1" operator="equal">
      <formula>0</formula>
    </cfRule>
  </conditionalFormatting>
  <conditionalFormatting sqref="H60">
    <cfRule type="cellIs" dxfId="12" priority="62" stopIfTrue="1" operator="equal">
      <formula>0</formula>
    </cfRule>
  </conditionalFormatting>
  <conditionalFormatting sqref="I60">
    <cfRule type="cellIs" dxfId="11" priority="61" stopIfTrue="1" operator="equal">
      <formula>0</formula>
    </cfRule>
  </conditionalFormatting>
  <conditionalFormatting sqref="F49">
    <cfRule type="expression" dxfId="10" priority="60">
      <formula>LEN($E$50)&gt;2</formula>
    </cfRule>
  </conditionalFormatting>
  <conditionalFormatting sqref="F62:J62">
    <cfRule type="expression" dxfId="9" priority="59">
      <formula>LEFT($F62,7)=" This c"</formula>
    </cfRule>
  </conditionalFormatting>
  <conditionalFormatting sqref="F70">
    <cfRule type="expression" dxfId="8" priority="58">
      <formula>LEFT($F70,7)=" This c"</formula>
    </cfRule>
  </conditionalFormatting>
  <conditionalFormatting sqref="E80 G80:K80">
    <cfRule type="expression" dxfId="7" priority="57">
      <formula>LEFT(E$80,7)="Correct"</formula>
    </cfRule>
  </conditionalFormatting>
  <conditionalFormatting sqref="F81">
    <cfRule type="expression" dxfId="6" priority="54">
      <formula>LEFT($F81,7)=" The Su"</formula>
    </cfRule>
  </conditionalFormatting>
  <conditionalFormatting sqref="F75:F79">
    <cfRule type="cellIs" dxfId="5" priority="53" stopIfTrue="1" operator="equal">
      <formula>0</formula>
    </cfRule>
  </conditionalFormatting>
  <conditionalFormatting sqref="F80">
    <cfRule type="expression" dxfId="4" priority="52">
      <formula>LEFT(F$80,7)="Correct"</formula>
    </cfRule>
  </conditionalFormatting>
  <conditionalFormatting sqref="G38:G40">
    <cfRule type="cellIs" dxfId="3" priority="51" stopIfTrue="1" operator="equal">
      <formula>0</formula>
    </cfRule>
  </conditionalFormatting>
  <conditionalFormatting sqref="D18:E18">
    <cfRule type="expression" priority="33">
      <formula>$B$18="DELETE ME Should be the managing org. name"</formula>
    </cfRule>
  </conditionalFormatting>
  <conditionalFormatting sqref="G100:J100">
    <cfRule type="cellIs" dxfId="2" priority="32" stopIfTrue="1" operator="equal">
      <formula>0</formula>
    </cfRule>
  </conditionalFormatting>
  <conditionalFormatting sqref="D100:F100">
    <cfRule type="cellIs" dxfId="1" priority="2" stopIfTrue="1" operator="equal">
      <formula>0</formula>
    </cfRule>
  </conditionalFormatting>
  <conditionalFormatting sqref="F53:F59">
    <cfRule type="cellIs" dxfId="0" priority="1" stopIfTrue="1" operator="equal">
      <formula>0</formula>
    </cfRule>
  </conditionalFormatting>
  <dataValidations xWindow="792" yWindow="341" count="5">
    <dataValidation type="list" allowBlank="1" showInputMessage="1" showErrorMessage="1" sqref="D18:E32" xr:uid="{00000000-0002-0000-0000-000001000000}">
      <formula1>TYPE</formula1>
    </dataValidation>
    <dataValidation type="decimal" operator="greaterThanOrEqual" allowBlank="1" showInputMessage="1" showErrorMessage="1" sqref="L75:O78 E48 E42 E45" xr:uid="{00000000-0002-0000-0000-000002000000}">
      <formula1>0</formula1>
    </dataValidation>
    <dataValidation type="whole" operator="greaterThanOrEqual" allowBlank="1" showInputMessage="1" showErrorMessage="1" error="This must be a whole number or Zero_x000a__x000a_Miight you have the letter O  here ??" prompt="Whole numbers only" sqref="H53:I59" xr:uid="{00000000-0002-0000-0000-000003000000}">
      <formula1>0</formula1>
    </dataValidation>
    <dataValidation type="decimal" operator="greaterThanOrEqual" allowBlank="1" showInputMessage="1" showErrorMessage="1" error="This must be a number or Zero_x000a__x000a_Miight you have the letter O  here ??_x000a__x000a_(WTE added automatically )" prompt="Just add the number" sqref="E75:K78 E44 E87:H87 E66:E69 G53:G59 E53:E59 E38:E40 G38:G40 G100:J100 E46:E47" xr:uid="{00000000-0002-0000-0000-000004000000}">
      <formula1>0</formula1>
    </dataValidation>
    <dataValidation type="list" allowBlank="1" showInputMessage="1" showErrorMessage="1" sqref="C6:F6" xr:uid="{768586CC-8FEB-44CA-A0A8-EE634697AE6C}">
      <formula1>INDIRECT(C5)</formula1>
    </dataValidation>
  </dataValidations>
  <hyperlinks>
    <hyperlink ref="Q17" location="LstCompletion" display="Lstcompletion" xr:uid="{00000000-0004-0000-0000-000000000000}"/>
    <hyperlink ref="M17" location="LstOthers" display="Others" xr:uid="{00000000-0004-0000-0000-000001000000}"/>
    <hyperlink ref="R1" location="LineBreak" display="LineBreak" xr:uid="{00000000-0004-0000-0000-000002000000}"/>
    <hyperlink ref="V3" location="ReportText" display="ReportText" xr:uid="{00000000-0004-0000-0000-000003000000}"/>
    <hyperlink ref="Q61" location="LstHeadcountVacancies" display="LstHeadcountVacancies" xr:uid="{00000000-0004-0000-0000-000005000000}"/>
    <hyperlink ref="S1" location="Indent" display="Indent" xr:uid="{00000000-0004-0000-0000-000006000000}"/>
    <hyperlink ref="P72" location="TblStaffBands" display="TblStaffBands" xr:uid="{00000000-0004-0000-0000-000007000000}"/>
  </hyperlinks>
  <printOptions horizontalCentered="1"/>
  <pageMargins left="0.55118110236220474" right="0.55118110236220474" top="0.78740157480314965" bottom="0.51181102362204722" header="0.59055118110236227" footer="0.31496062992125984"/>
  <pageSetup paperSize="9" scale="67" fitToHeight="0" orientation="landscape" r:id="rId1"/>
  <headerFooter alignWithMargins="0">
    <oddHeader xml:space="preserve">&amp;C&amp;"Calibri Light,Bold"&amp;14NHS Library Services Annual Statistical Return 2019-20 (Part 1) Staffing
</oddHeader>
    <oddFooter>&amp;L&amp;"Calibri Light,Regular"Version: 18 March 2019&amp;R&amp;"Calibri Light,Regular"&amp;P of &amp;N</oddFooter>
  </headerFooter>
  <rowBreaks count="3" manualBreakCount="3">
    <brk id="35" max="10" man="1"/>
    <brk id="50" max="10" man="1"/>
    <brk id="82" max="10" man="1"/>
  </rowBreaks>
  <ignoredErrors>
    <ignoredError sqref="A18:A26 A28:A32 F18 F19:F32" numberStoredAsText="1"/>
  </ignoredErrors>
  <drawing r:id="rId2"/>
  <legacyDrawing r:id="rId3"/>
  <extLst>
    <ext xmlns:x14="http://schemas.microsoft.com/office/spreadsheetml/2009/9/main" uri="{CCE6A557-97BC-4b89-ADB6-D9C93CAAB3DF}">
      <x14:dataValidations xmlns:xm="http://schemas.microsoft.com/office/excel/2006/main" xWindow="792" yWindow="341" count="2">
        <x14:dataValidation type="list" allowBlank="1" showInputMessage="1" showErrorMessage="1" xr:uid="{00000000-0002-0000-0000-000005000000}">
          <x14:formula1>
            <xm:f>lookup!$A$16:$A$20</xm:f>
          </x14:formula1>
          <xm:sqref>C7:F7</xm:sqref>
        </x14:dataValidation>
        <x14:dataValidation type="list" showInputMessage="1" showErrorMessage="1" xr:uid="{C5D9F2D7-F378-45E5-B920-6434CC0FC53F}">
          <x14:formula1>
            <xm:f>LOV!$A$2:$A$12</xm:f>
          </x14:formula1>
          <xm:sqref>C5:F5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L92"/>
  <sheetViews>
    <sheetView showGridLines="0" tabSelected="1" topLeftCell="A76" zoomScaleNormal="100" zoomScaleSheetLayoutView="100" workbookViewId="0">
      <selection activeCell="B94" sqref="B94"/>
    </sheetView>
  </sheetViews>
  <sheetFormatPr defaultColWidth="9.109375" defaultRowHeight="15.6" x14ac:dyDescent="0.25"/>
  <cols>
    <col min="1" max="1" width="19" style="172" customWidth="1"/>
    <col min="2" max="2" width="129.44140625" style="163" customWidth="1"/>
    <col min="3" max="3" width="0.44140625" style="118" customWidth="1"/>
    <col min="4" max="5" width="9.109375" style="118" hidden="1" customWidth="1"/>
    <col min="6" max="6" width="10" style="118" hidden="1" customWidth="1"/>
    <col min="7" max="7" width="13.44140625" style="118" hidden="1" customWidth="1"/>
    <col min="8" max="8" width="9.109375" style="63" hidden="1" customWidth="1"/>
    <col min="9" max="16384" width="9.109375" style="63"/>
  </cols>
  <sheetData>
    <row r="1" spans="1:11" x14ac:dyDescent="0.25">
      <c r="A1" s="346" t="s">
        <v>120</v>
      </c>
      <c r="B1" s="346"/>
      <c r="C1" s="346"/>
      <c r="D1" s="346"/>
      <c r="E1" s="346"/>
      <c r="F1" s="346"/>
      <c r="G1" s="346"/>
    </row>
    <row r="2" spans="1:11" ht="9.9" customHeight="1" x14ac:dyDescent="0.25">
      <c r="A2" s="347"/>
      <c r="B2" s="347"/>
      <c r="C2" s="347"/>
      <c r="D2" s="347"/>
      <c r="E2" s="347"/>
      <c r="F2" s="347"/>
      <c r="G2" s="347"/>
    </row>
    <row r="3" spans="1:11" ht="17.25" customHeight="1" x14ac:dyDescent="0.25">
      <c r="A3" s="347" t="s">
        <v>121</v>
      </c>
      <c r="B3" s="347"/>
      <c r="C3" s="347"/>
      <c r="D3" s="347"/>
      <c r="E3" s="347"/>
      <c r="F3" s="347"/>
      <c r="G3" s="347"/>
      <c r="H3" s="227"/>
      <c r="I3" s="227"/>
      <c r="J3" s="227"/>
      <c r="K3" s="227"/>
    </row>
    <row r="4" spans="1:11" ht="28.5" customHeight="1" x14ac:dyDescent="0.25">
      <c r="A4" s="347" t="s">
        <v>122</v>
      </c>
      <c r="B4" s="347"/>
      <c r="C4" s="347"/>
      <c r="D4" s="347"/>
      <c r="E4" s="347"/>
      <c r="F4" s="347"/>
      <c r="G4" s="347"/>
    </row>
    <row r="5" spans="1:11" ht="18" customHeight="1" x14ac:dyDescent="0.25">
      <c r="A5" s="347" t="s">
        <v>123</v>
      </c>
      <c r="B5" s="347"/>
      <c r="C5" s="225"/>
      <c r="D5" s="225"/>
      <c r="E5" s="225"/>
      <c r="F5" s="225"/>
      <c r="G5" s="225"/>
    </row>
    <row r="6" spans="1:11" ht="102" customHeight="1" x14ac:dyDescent="0.25">
      <c r="A6" s="346" t="s">
        <v>124</v>
      </c>
      <c r="B6" s="346"/>
      <c r="C6" s="346"/>
      <c r="D6" s="346"/>
      <c r="E6" s="346"/>
      <c r="F6" s="346"/>
      <c r="G6" s="346"/>
      <c r="H6" s="119"/>
      <c r="I6" s="119"/>
      <c r="J6" s="119"/>
      <c r="K6" s="120"/>
    </row>
    <row r="7" spans="1:11" ht="22.5" customHeight="1" thickBot="1" x14ac:dyDescent="0.3">
      <c r="A7" s="347" t="s">
        <v>125</v>
      </c>
      <c r="B7" s="347"/>
      <c r="C7" s="224"/>
      <c r="D7" s="224"/>
      <c r="E7" s="224"/>
      <c r="F7" s="224"/>
      <c r="G7" s="224"/>
      <c r="H7" s="119"/>
      <c r="I7" s="119"/>
      <c r="J7" s="119"/>
      <c r="K7" s="120"/>
    </row>
    <row r="8" spans="1:11" ht="63" customHeight="1" thickTop="1" thickBot="1" x14ac:dyDescent="0.3">
      <c r="A8" s="357" t="s">
        <v>126</v>
      </c>
      <c r="B8" s="358"/>
      <c r="C8" s="121"/>
      <c r="D8" s="224"/>
      <c r="E8" s="224"/>
      <c r="F8" s="224"/>
      <c r="G8" s="224"/>
      <c r="H8" s="119"/>
      <c r="I8" s="119"/>
      <c r="J8" s="119"/>
      <c r="K8" s="120"/>
    </row>
    <row r="9" spans="1:11" ht="9.9" customHeight="1" thickTop="1" x14ac:dyDescent="0.25">
      <c r="A9" s="347"/>
      <c r="B9" s="347"/>
      <c r="C9" s="361"/>
      <c r="D9" s="361"/>
      <c r="E9" s="361"/>
      <c r="F9" s="361"/>
      <c r="G9" s="361"/>
    </row>
    <row r="10" spans="1:11" x14ac:dyDescent="0.25">
      <c r="A10" s="346" t="s">
        <v>127</v>
      </c>
      <c r="B10" s="346"/>
      <c r="C10" s="346"/>
      <c r="D10" s="346"/>
      <c r="E10" s="346"/>
      <c r="F10" s="346"/>
      <c r="G10" s="346"/>
    </row>
    <row r="11" spans="1:11" ht="9.9" customHeight="1" x14ac:dyDescent="0.25">
      <c r="A11" s="346"/>
      <c r="B11" s="346"/>
      <c r="C11" s="346"/>
      <c r="D11" s="346"/>
      <c r="E11" s="346"/>
      <c r="F11" s="346"/>
      <c r="G11" s="346"/>
    </row>
    <row r="12" spans="1:11" ht="32.25" customHeight="1" x14ac:dyDescent="0.25">
      <c r="A12" s="347" t="s">
        <v>128</v>
      </c>
      <c r="B12" s="347"/>
      <c r="C12" s="225"/>
      <c r="D12" s="225"/>
      <c r="E12" s="225"/>
      <c r="F12" s="225"/>
      <c r="G12" s="225"/>
      <c r="H12" s="227"/>
      <c r="I12" s="227"/>
      <c r="J12" s="227"/>
      <c r="K12" s="227"/>
    </row>
    <row r="13" spans="1:11" ht="18.75" customHeight="1" x14ac:dyDescent="0.25">
      <c r="A13" s="346" t="s">
        <v>129</v>
      </c>
      <c r="B13" s="346"/>
      <c r="C13" s="346"/>
      <c r="D13" s="346"/>
      <c r="E13" s="346"/>
      <c r="F13" s="346"/>
      <c r="G13" s="346"/>
    </row>
    <row r="14" spans="1:11" ht="6" customHeight="1" x14ac:dyDescent="0.25">
      <c r="A14" s="359"/>
      <c r="B14" s="359"/>
      <c r="C14" s="359"/>
      <c r="D14" s="359"/>
      <c r="E14" s="359"/>
      <c r="F14" s="359"/>
      <c r="G14" s="359"/>
    </row>
    <row r="15" spans="1:11" x14ac:dyDescent="0.25">
      <c r="A15" s="350" t="s">
        <v>130</v>
      </c>
      <c r="B15" s="350"/>
      <c r="C15" s="350"/>
      <c r="D15" s="350"/>
      <c r="E15" s="350"/>
      <c r="F15" s="350"/>
      <c r="G15" s="350"/>
    </row>
    <row r="16" spans="1:11" s="64" customFormat="1" x14ac:dyDescent="0.25">
      <c r="A16" s="350" t="s">
        <v>131</v>
      </c>
      <c r="B16" s="350"/>
      <c r="C16" s="350"/>
      <c r="D16" s="350"/>
      <c r="E16" s="350"/>
      <c r="F16" s="350"/>
      <c r="G16" s="350"/>
    </row>
    <row r="17" spans="1:7" ht="30" customHeight="1" x14ac:dyDescent="0.25">
      <c r="A17" s="360" t="s">
        <v>132</v>
      </c>
      <c r="B17" s="360"/>
      <c r="C17" s="360"/>
      <c r="D17" s="360"/>
      <c r="E17" s="360"/>
      <c r="F17" s="360"/>
      <c r="G17" s="360"/>
    </row>
    <row r="18" spans="1:7" ht="9.9" customHeight="1" x14ac:dyDescent="0.25">
      <c r="A18" s="356"/>
      <c r="B18" s="356"/>
      <c r="C18" s="356"/>
      <c r="D18" s="356"/>
      <c r="E18" s="356"/>
      <c r="F18" s="356"/>
      <c r="G18" s="356"/>
    </row>
    <row r="19" spans="1:7" x14ac:dyDescent="0.25">
      <c r="A19" s="346" t="s">
        <v>133</v>
      </c>
      <c r="B19" s="346"/>
      <c r="C19" s="346"/>
      <c r="D19" s="346"/>
      <c r="E19" s="346"/>
      <c r="F19" s="346"/>
      <c r="G19" s="346"/>
    </row>
    <row r="20" spans="1:7" x14ac:dyDescent="0.25">
      <c r="A20" s="347" t="s">
        <v>134</v>
      </c>
      <c r="B20" s="347"/>
      <c r="C20" s="347"/>
      <c r="D20" s="347"/>
      <c r="E20" s="347"/>
      <c r="F20" s="347"/>
      <c r="G20" s="347"/>
    </row>
    <row r="21" spans="1:7" ht="9.9" customHeight="1" x14ac:dyDescent="0.25">
      <c r="A21" s="346"/>
      <c r="B21" s="346"/>
      <c r="C21" s="346"/>
      <c r="D21" s="346"/>
      <c r="E21" s="346"/>
      <c r="F21" s="346"/>
      <c r="G21" s="346"/>
    </row>
    <row r="22" spans="1:7" x14ac:dyDescent="0.25">
      <c r="A22" s="346" t="s">
        <v>135</v>
      </c>
      <c r="B22" s="346"/>
      <c r="C22" s="346"/>
      <c r="D22" s="346"/>
      <c r="E22" s="346"/>
      <c r="F22" s="346"/>
      <c r="G22" s="346"/>
    </row>
    <row r="23" spans="1:7" ht="29.25" customHeight="1" x14ac:dyDescent="0.25">
      <c r="A23" s="347" t="s">
        <v>136</v>
      </c>
      <c r="B23" s="347"/>
      <c r="C23" s="347"/>
      <c r="D23" s="347"/>
      <c r="E23" s="347"/>
      <c r="F23" s="347"/>
      <c r="G23" s="347"/>
    </row>
    <row r="24" spans="1:7" x14ac:dyDescent="0.25">
      <c r="A24" s="347" t="s">
        <v>137</v>
      </c>
      <c r="B24" s="347"/>
      <c r="C24" s="347"/>
      <c r="D24" s="347"/>
      <c r="E24" s="347"/>
      <c r="F24" s="347"/>
      <c r="G24" s="347"/>
    </row>
    <row r="25" spans="1:7" ht="30.75" customHeight="1" x14ac:dyDescent="0.25">
      <c r="A25" s="347" t="s">
        <v>138</v>
      </c>
      <c r="B25" s="347"/>
      <c r="C25" s="347"/>
      <c r="D25" s="347"/>
      <c r="E25" s="347"/>
      <c r="F25" s="347"/>
      <c r="G25" s="347"/>
    </row>
    <row r="26" spans="1:7" ht="9.9" customHeight="1" x14ac:dyDescent="0.25">
      <c r="A26" s="346"/>
      <c r="B26" s="346"/>
      <c r="C26" s="346"/>
      <c r="D26" s="346"/>
      <c r="E26" s="346"/>
      <c r="F26" s="346"/>
      <c r="G26" s="346"/>
    </row>
    <row r="27" spans="1:7" ht="15.75" customHeight="1" x14ac:dyDescent="0.25">
      <c r="A27" s="346" t="s">
        <v>139</v>
      </c>
      <c r="B27" s="346"/>
      <c r="C27" s="346"/>
      <c r="D27" s="346"/>
      <c r="E27" s="346"/>
      <c r="F27" s="346"/>
      <c r="G27" s="346"/>
    </row>
    <row r="28" spans="1:7" ht="60" customHeight="1" x14ac:dyDescent="0.25">
      <c r="A28" s="347" t="s">
        <v>140</v>
      </c>
      <c r="B28" s="347"/>
      <c r="C28" s="347"/>
      <c r="D28" s="347"/>
      <c r="E28" s="347"/>
      <c r="F28" s="347"/>
      <c r="G28" s="347"/>
    </row>
    <row r="29" spans="1:7" ht="9.9" customHeight="1" x14ac:dyDescent="0.25">
      <c r="A29" s="356"/>
      <c r="B29" s="356"/>
      <c r="C29" s="356"/>
      <c r="D29" s="356"/>
      <c r="E29" s="356"/>
      <c r="F29" s="356"/>
      <c r="G29" s="356"/>
    </row>
    <row r="30" spans="1:7" ht="15.75" customHeight="1" x14ac:dyDescent="0.25">
      <c r="A30" s="346" t="s">
        <v>141</v>
      </c>
      <c r="B30" s="346"/>
      <c r="C30" s="346"/>
      <c r="D30" s="346"/>
      <c r="E30" s="346"/>
      <c r="F30" s="346"/>
      <c r="G30" s="346"/>
    </row>
    <row r="31" spans="1:7" ht="45" customHeight="1" x14ac:dyDescent="0.25">
      <c r="A31" s="347" t="s">
        <v>439</v>
      </c>
      <c r="B31" s="347"/>
      <c r="C31" s="347"/>
      <c r="D31" s="347"/>
      <c r="E31" s="347"/>
      <c r="F31" s="347"/>
      <c r="G31" s="347"/>
    </row>
    <row r="32" spans="1:7" ht="19.5" customHeight="1" x14ac:dyDescent="0.25">
      <c r="A32" s="347" t="s">
        <v>142</v>
      </c>
      <c r="B32" s="347"/>
      <c r="C32" s="225"/>
      <c r="D32" s="225"/>
      <c r="E32" s="225"/>
      <c r="F32" s="225"/>
      <c r="G32" s="225"/>
    </row>
    <row r="33" spans="1:10" ht="14.25" customHeight="1" x14ac:dyDescent="0.25">
      <c r="A33" s="347" t="s">
        <v>143</v>
      </c>
      <c r="B33" s="347"/>
      <c r="C33" s="347"/>
      <c r="D33" s="347"/>
      <c r="E33" s="347"/>
      <c r="F33" s="347"/>
      <c r="G33" s="347"/>
    </row>
    <row r="34" spans="1:10" ht="18" customHeight="1" x14ac:dyDescent="0.25">
      <c r="A34" s="347" t="s">
        <v>144</v>
      </c>
      <c r="B34" s="347"/>
      <c r="C34" s="347"/>
      <c r="D34" s="347"/>
      <c r="E34" s="347"/>
      <c r="F34" s="347"/>
      <c r="G34" s="347"/>
    </row>
    <row r="35" spans="1:10" ht="9.9" customHeight="1" x14ac:dyDescent="0.25">
      <c r="A35" s="350"/>
      <c r="B35" s="350"/>
      <c r="C35" s="350"/>
      <c r="D35" s="350"/>
      <c r="E35" s="350"/>
      <c r="F35" s="350"/>
      <c r="G35" s="350"/>
    </row>
    <row r="36" spans="1:10" ht="23.25" customHeight="1" thickBot="1" x14ac:dyDescent="0.3">
      <c r="A36" s="351" t="s">
        <v>145</v>
      </c>
      <c r="B36" s="351"/>
      <c r="C36" s="351"/>
      <c r="D36" s="351"/>
      <c r="E36" s="351"/>
      <c r="F36" s="351"/>
      <c r="G36" s="351"/>
    </row>
    <row r="37" spans="1:10" s="169" customFormat="1" ht="51.75" customHeight="1" x14ac:dyDescent="0.3">
      <c r="A37" s="170"/>
      <c r="B37" s="349" t="s">
        <v>420</v>
      </c>
      <c r="C37" s="349"/>
      <c r="D37" s="349"/>
      <c r="E37" s="349"/>
      <c r="F37" s="349"/>
      <c r="G37" s="349"/>
    </row>
    <row r="38" spans="1:10" ht="66.75" customHeight="1" x14ac:dyDescent="0.25">
      <c r="A38" s="171"/>
      <c r="B38" s="350" t="s">
        <v>146</v>
      </c>
      <c r="C38" s="350"/>
      <c r="D38" s="350"/>
      <c r="E38" s="350"/>
      <c r="F38" s="350"/>
      <c r="G38" s="350"/>
    </row>
    <row r="39" spans="1:10" ht="66.75" customHeight="1" x14ac:dyDescent="0.25">
      <c r="A39" s="171"/>
      <c r="B39" s="233" t="s">
        <v>441</v>
      </c>
      <c r="C39" s="233"/>
      <c r="D39" s="233"/>
      <c r="E39" s="233"/>
      <c r="F39" s="233"/>
      <c r="G39" s="233"/>
    </row>
    <row r="40" spans="1:10" x14ac:dyDescent="0.25">
      <c r="A40" s="171">
        <v>1.2</v>
      </c>
      <c r="B40" s="347" t="s">
        <v>431</v>
      </c>
      <c r="C40" s="347"/>
      <c r="D40" s="347"/>
      <c r="E40" s="347"/>
      <c r="F40" s="347"/>
      <c r="G40" s="347"/>
    </row>
    <row r="41" spans="1:10" ht="31.95" customHeight="1" x14ac:dyDescent="0.25">
      <c r="A41" s="171">
        <v>1.3</v>
      </c>
      <c r="B41" s="347" t="s">
        <v>432</v>
      </c>
      <c r="C41" s="347"/>
      <c r="D41" s="347"/>
      <c r="E41" s="347"/>
      <c r="F41" s="347"/>
      <c r="G41" s="347"/>
    </row>
    <row r="42" spans="1:10" ht="60.75" customHeight="1" x14ac:dyDescent="0.25">
      <c r="A42" s="171" t="s">
        <v>148</v>
      </c>
      <c r="B42" s="225" t="s">
        <v>149</v>
      </c>
      <c r="C42" s="225"/>
      <c r="D42" s="225"/>
      <c r="E42" s="225"/>
      <c r="F42" s="225"/>
      <c r="G42" s="225"/>
    </row>
    <row r="43" spans="1:10" x14ac:dyDescent="0.25">
      <c r="A43" s="171"/>
      <c r="B43" s="225" t="s">
        <v>422</v>
      </c>
      <c r="C43" s="225"/>
      <c r="D43" s="225"/>
      <c r="E43" s="225"/>
      <c r="F43" s="225"/>
      <c r="G43" s="225"/>
    </row>
    <row r="44" spans="1:10" ht="29.4" customHeight="1" x14ac:dyDescent="0.25">
      <c r="A44" s="171" t="s">
        <v>423</v>
      </c>
      <c r="B44" s="225" t="s">
        <v>436</v>
      </c>
      <c r="C44" s="225"/>
      <c r="D44" s="225"/>
      <c r="E44" s="225"/>
      <c r="F44" s="225"/>
      <c r="G44" s="225"/>
    </row>
    <row r="45" spans="1:10" ht="34.950000000000003" customHeight="1" x14ac:dyDescent="0.3">
      <c r="B45" s="348" t="s">
        <v>437</v>
      </c>
      <c r="C45" s="348"/>
      <c r="D45" s="348"/>
      <c r="E45" s="348"/>
      <c r="F45" s="348"/>
      <c r="G45" s="348"/>
      <c r="H45" s="119"/>
      <c r="I45" s="119"/>
      <c r="J45" s="119"/>
    </row>
    <row r="46" spans="1:10" ht="30.75" customHeight="1" thickBot="1" x14ac:dyDescent="0.3">
      <c r="A46" s="351" t="s">
        <v>150</v>
      </c>
      <c r="B46" s="351"/>
      <c r="C46" s="351"/>
      <c r="D46" s="351"/>
      <c r="E46" s="351"/>
      <c r="F46" s="351"/>
      <c r="G46" s="351"/>
    </row>
    <row r="47" spans="1:10" ht="37.5" customHeight="1" x14ac:dyDescent="0.25">
      <c r="A47" s="171" t="s">
        <v>151</v>
      </c>
      <c r="B47" s="352" t="s">
        <v>152</v>
      </c>
      <c r="C47" s="352"/>
      <c r="D47" s="352"/>
      <c r="E47" s="352"/>
      <c r="F47" s="352"/>
      <c r="G47" s="352"/>
    </row>
    <row r="48" spans="1:10" x14ac:dyDescent="0.25">
      <c r="A48" s="171" t="s">
        <v>151</v>
      </c>
      <c r="B48" s="347" t="s">
        <v>153</v>
      </c>
      <c r="C48" s="347"/>
      <c r="D48" s="347"/>
      <c r="E48" s="347"/>
      <c r="F48" s="347"/>
      <c r="G48" s="347"/>
    </row>
    <row r="49" spans="1:12" x14ac:dyDescent="0.25">
      <c r="A49" s="171" t="s">
        <v>151</v>
      </c>
      <c r="B49" s="346" t="s">
        <v>154</v>
      </c>
      <c r="C49" s="346"/>
      <c r="D49" s="346"/>
      <c r="E49" s="346"/>
      <c r="F49" s="346"/>
      <c r="G49" s="346"/>
    </row>
    <row r="50" spans="1:12" ht="48" customHeight="1" x14ac:dyDescent="0.25">
      <c r="A50" s="171"/>
      <c r="B50" s="350" t="s">
        <v>146</v>
      </c>
      <c r="C50" s="350"/>
      <c r="D50" s="350"/>
      <c r="E50" s="350"/>
      <c r="F50" s="350"/>
      <c r="G50" s="350"/>
    </row>
    <row r="51" spans="1:12" ht="15.75" customHeight="1" x14ac:dyDescent="0.25">
      <c r="A51" s="171" t="s">
        <v>151</v>
      </c>
      <c r="B51" s="347" t="s">
        <v>419</v>
      </c>
      <c r="C51" s="226"/>
      <c r="D51" s="226"/>
      <c r="E51" s="226"/>
      <c r="F51" s="226"/>
      <c r="G51" s="226"/>
    </row>
    <row r="52" spans="1:12" ht="33" customHeight="1" x14ac:dyDescent="0.25">
      <c r="A52" s="171"/>
      <c r="B52" s="347"/>
      <c r="C52" s="226"/>
      <c r="D52" s="226"/>
      <c r="E52" s="226"/>
      <c r="F52" s="226"/>
      <c r="G52" s="226"/>
    </row>
    <row r="53" spans="1:12" ht="86.25" customHeight="1" x14ac:dyDescent="0.25">
      <c r="B53" s="347" t="s">
        <v>424</v>
      </c>
      <c r="C53" s="347"/>
      <c r="D53" s="347"/>
      <c r="E53" s="347"/>
      <c r="F53" s="347"/>
      <c r="G53" s="347"/>
      <c r="H53" s="119"/>
      <c r="I53" s="119"/>
      <c r="J53" s="119"/>
    </row>
    <row r="54" spans="1:12" ht="13.5" customHeight="1" thickBot="1" x14ac:dyDescent="0.3">
      <c r="A54" s="351" t="s">
        <v>155</v>
      </c>
      <c r="B54" s="351"/>
      <c r="C54" s="351"/>
      <c r="D54" s="351"/>
      <c r="E54" s="351"/>
      <c r="F54" s="351"/>
      <c r="G54" s="351"/>
    </row>
    <row r="55" spans="1:12" ht="33.75" customHeight="1" x14ac:dyDescent="0.25">
      <c r="B55" s="349" t="s">
        <v>156</v>
      </c>
      <c r="C55" s="349"/>
      <c r="D55" s="349"/>
      <c r="E55" s="349"/>
      <c r="F55" s="349"/>
      <c r="G55" s="349"/>
      <c r="H55" s="227"/>
      <c r="I55" s="227"/>
      <c r="J55" s="227"/>
      <c r="K55" s="227"/>
      <c r="L55" s="227"/>
    </row>
    <row r="56" spans="1:12" x14ac:dyDescent="0.25">
      <c r="B56" s="347" t="s">
        <v>157</v>
      </c>
      <c r="C56" s="347"/>
      <c r="D56" s="347"/>
      <c r="E56" s="347"/>
      <c r="F56" s="347"/>
      <c r="G56" s="347"/>
    </row>
    <row r="57" spans="1:12" ht="23.25" customHeight="1" x14ac:dyDescent="0.25">
      <c r="A57" s="171" t="s">
        <v>151</v>
      </c>
      <c r="B57" s="347" t="s">
        <v>153</v>
      </c>
      <c r="C57" s="347"/>
      <c r="D57" s="347"/>
      <c r="E57" s="347"/>
      <c r="F57" s="347"/>
      <c r="G57" s="347"/>
    </row>
    <row r="58" spans="1:12" ht="32.25" customHeight="1" x14ac:dyDescent="0.25">
      <c r="A58" s="171"/>
      <c r="B58" s="347" t="s">
        <v>158</v>
      </c>
      <c r="C58" s="347"/>
      <c r="D58" s="347"/>
      <c r="E58" s="347"/>
      <c r="F58" s="347"/>
      <c r="G58" s="347"/>
    </row>
    <row r="59" spans="1:12" ht="51" customHeight="1" x14ac:dyDescent="0.25">
      <c r="A59" s="171"/>
      <c r="B59" s="350" t="s">
        <v>146</v>
      </c>
      <c r="C59" s="350"/>
      <c r="D59" s="350"/>
      <c r="E59" s="350"/>
      <c r="F59" s="350"/>
      <c r="G59" s="350"/>
    </row>
    <row r="60" spans="1:12" x14ac:dyDescent="0.25">
      <c r="A60" s="171">
        <v>3.2</v>
      </c>
      <c r="B60" s="347" t="s">
        <v>147</v>
      </c>
      <c r="C60" s="347"/>
      <c r="D60" s="347"/>
      <c r="E60" s="347"/>
      <c r="F60" s="347"/>
      <c r="G60" s="347"/>
    </row>
    <row r="61" spans="1:12" x14ac:dyDescent="0.25">
      <c r="A61" s="171">
        <v>3.3</v>
      </c>
      <c r="B61" s="347" t="s">
        <v>159</v>
      </c>
      <c r="C61" s="347"/>
      <c r="D61" s="347"/>
      <c r="E61" s="347"/>
      <c r="F61" s="347"/>
      <c r="G61" s="347"/>
    </row>
    <row r="62" spans="1:12" x14ac:dyDescent="0.25">
      <c r="A62" s="171">
        <v>3.4</v>
      </c>
      <c r="B62" s="225" t="s">
        <v>160</v>
      </c>
      <c r="C62" s="225"/>
      <c r="D62" s="225"/>
      <c r="E62" s="225"/>
      <c r="F62" s="225"/>
      <c r="G62" s="225"/>
    </row>
    <row r="63" spans="1:12" ht="84" customHeight="1" x14ac:dyDescent="0.25">
      <c r="B63" s="347" t="s">
        <v>425</v>
      </c>
      <c r="C63" s="347"/>
      <c r="D63" s="347"/>
      <c r="E63" s="347"/>
      <c r="F63" s="347"/>
      <c r="G63" s="347"/>
    </row>
    <row r="65" spans="1:7" ht="13.5" customHeight="1" thickBot="1" x14ac:dyDescent="0.3">
      <c r="A65" s="354" t="s">
        <v>161</v>
      </c>
      <c r="B65" s="354" t="s">
        <v>162</v>
      </c>
      <c r="C65" s="354"/>
      <c r="D65" s="354"/>
      <c r="E65" s="354"/>
      <c r="F65" s="354"/>
      <c r="G65" s="354"/>
    </row>
    <row r="66" spans="1:7" ht="25.5" customHeight="1" x14ac:dyDescent="0.25">
      <c r="B66" s="355" t="s">
        <v>163</v>
      </c>
      <c r="C66" s="355"/>
      <c r="D66" s="355"/>
      <c r="E66" s="355"/>
      <c r="F66" s="355"/>
      <c r="G66" s="355"/>
    </row>
    <row r="67" spans="1:7" ht="39.75" customHeight="1" x14ac:dyDescent="0.25">
      <c r="A67" s="171" t="s">
        <v>164</v>
      </c>
      <c r="B67" s="225" t="s">
        <v>165</v>
      </c>
      <c r="C67" s="225"/>
      <c r="D67" s="225"/>
      <c r="E67" s="225"/>
      <c r="F67" s="225"/>
      <c r="G67" s="225"/>
    </row>
    <row r="68" spans="1:7" ht="16.5" customHeight="1" x14ac:dyDescent="0.25">
      <c r="B68" s="225" t="s">
        <v>166</v>
      </c>
      <c r="C68" s="225"/>
      <c r="D68" s="225"/>
      <c r="E68" s="225"/>
      <c r="F68" s="225"/>
      <c r="G68" s="225"/>
    </row>
    <row r="69" spans="1:7" ht="7.5" customHeight="1" x14ac:dyDescent="0.25">
      <c r="B69" s="225"/>
      <c r="C69" s="225"/>
      <c r="D69" s="225"/>
      <c r="E69" s="225"/>
      <c r="F69" s="225"/>
      <c r="G69" s="225"/>
    </row>
    <row r="70" spans="1:7" ht="48" customHeight="1" x14ac:dyDescent="0.25">
      <c r="B70" s="353" t="s">
        <v>167</v>
      </c>
      <c r="C70" s="353"/>
      <c r="D70" s="353"/>
      <c r="E70" s="353"/>
      <c r="F70" s="353"/>
      <c r="G70" s="353"/>
    </row>
    <row r="71" spans="1:7" ht="5.25" customHeight="1" x14ac:dyDescent="0.25">
      <c r="B71" s="227"/>
      <c r="C71" s="227"/>
      <c r="D71" s="227"/>
      <c r="E71" s="227"/>
      <c r="F71" s="227"/>
      <c r="G71" s="227"/>
    </row>
    <row r="72" spans="1:7" x14ac:dyDescent="0.25">
      <c r="B72" s="227" t="s">
        <v>168</v>
      </c>
      <c r="C72" s="227"/>
      <c r="D72" s="227"/>
      <c r="E72" s="227"/>
      <c r="F72" s="227"/>
      <c r="G72" s="227"/>
    </row>
    <row r="73" spans="1:7" ht="79.5" customHeight="1" x14ac:dyDescent="0.25">
      <c r="B73" s="227" t="s">
        <v>169</v>
      </c>
      <c r="C73" s="227"/>
      <c r="D73" s="227"/>
      <c r="E73" s="227"/>
      <c r="F73" s="227"/>
      <c r="G73" s="227"/>
    </row>
    <row r="74" spans="1:7" ht="78" x14ac:dyDescent="0.25">
      <c r="A74" s="171" t="s">
        <v>151</v>
      </c>
      <c r="B74" s="227" t="s">
        <v>426</v>
      </c>
      <c r="C74" s="227"/>
      <c r="D74" s="227"/>
      <c r="E74" s="227"/>
      <c r="F74" s="227"/>
      <c r="G74" s="227"/>
    </row>
    <row r="75" spans="1:7" x14ac:dyDescent="0.25">
      <c r="A75" s="171"/>
      <c r="B75" s="228"/>
      <c r="C75" s="228"/>
      <c r="D75" s="228"/>
      <c r="E75" s="228"/>
      <c r="F75" s="228"/>
      <c r="G75" s="228"/>
    </row>
    <row r="76" spans="1:7" ht="17.399999999999999" customHeight="1" thickBot="1" x14ac:dyDescent="0.3">
      <c r="A76" s="354" t="s">
        <v>429</v>
      </c>
      <c r="B76" s="354"/>
      <c r="C76" s="227"/>
      <c r="D76" s="227"/>
      <c r="E76" s="227"/>
      <c r="F76" s="227"/>
      <c r="G76" s="227"/>
    </row>
    <row r="77" spans="1:7" ht="17.399999999999999" customHeight="1" x14ac:dyDescent="0.25">
      <c r="A77" s="229"/>
      <c r="B77" s="229"/>
      <c r="C77" s="228"/>
      <c r="D77" s="228"/>
      <c r="E77" s="228"/>
      <c r="F77" s="228"/>
      <c r="G77" s="228"/>
    </row>
    <row r="78" spans="1:7" ht="17.399999999999999" customHeight="1" x14ac:dyDescent="0.25">
      <c r="A78" s="229"/>
      <c r="B78" s="229" t="s">
        <v>430</v>
      </c>
      <c r="C78" s="228"/>
      <c r="D78" s="228"/>
      <c r="E78" s="228"/>
      <c r="F78" s="228"/>
      <c r="G78" s="228"/>
    </row>
    <row r="79" spans="1:7" ht="17.399999999999999" customHeight="1" x14ac:dyDescent="0.25">
      <c r="A79" s="229"/>
      <c r="B79" s="232" t="s">
        <v>438</v>
      </c>
      <c r="C79" s="228"/>
      <c r="D79" s="228"/>
      <c r="E79" s="228"/>
      <c r="F79" s="228"/>
      <c r="G79" s="228"/>
    </row>
    <row r="80" spans="1:7" ht="17.399999999999999" customHeight="1" x14ac:dyDescent="0.25">
      <c r="A80" s="229"/>
      <c r="B80" s="232" t="s">
        <v>444</v>
      </c>
      <c r="C80" s="228"/>
      <c r="D80" s="228"/>
      <c r="E80" s="228"/>
      <c r="F80" s="228"/>
      <c r="G80" s="228"/>
    </row>
    <row r="81" spans="1:7" ht="17.399999999999999" customHeight="1" x14ac:dyDescent="0.25">
      <c r="A81" s="229"/>
      <c r="B81" s="232" t="s">
        <v>427</v>
      </c>
      <c r="C81" s="228"/>
      <c r="D81" s="228"/>
      <c r="E81" s="228"/>
      <c r="F81" s="228"/>
      <c r="G81" s="228"/>
    </row>
    <row r="82" spans="1:7" x14ac:dyDescent="0.25">
      <c r="B82" s="228" t="s">
        <v>428</v>
      </c>
    </row>
    <row r="83" spans="1:7" x14ac:dyDescent="0.25">
      <c r="B83" s="362" t="s">
        <v>445</v>
      </c>
      <c r="C83" s="238"/>
      <c r="D83" s="238"/>
      <c r="E83" s="238"/>
      <c r="F83" s="238"/>
      <c r="G83" s="238"/>
    </row>
    <row r="84" spans="1:7" ht="62.4" x14ac:dyDescent="0.25">
      <c r="B84" s="238" t="s">
        <v>446</v>
      </c>
      <c r="C84" s="238"/>
      <c r="D84" s="238"/>
      <c r="E84" s="238"/>
      <c r="F84" s="238"/>
      <c r="G84" s="238"/>
    </row>
    <row r="85" spans="1:7" x14ac:dyDescent="0.25">
      <c r="B85" s="238"/>
      <c r="C85" s="238"/>
      <c r="D85" s="238"/>
      <c r="E85" s="238"/>
      <c r="F85" s="238"/>
      <c r="G85" s="238"/>
    </row>
    <row r="86" spans="1:7" ht="18.75" customHeight="1" x14ac:dyDescent="0.25">
      <c r="A86" s="230" t="s">
        <v>170</v>
      </c>
      <c r="B86" s="231" t="s">
        <v>171</v>
      </c>
      <c r="C86" s="227"/>
      <c r="D86" s="227"/>
      <c r="E86" s="227"/>
      <c r="F86" s="227"/>
      <c r="G86" s="227"/>
    </row>
    <row r="87" spans="1:7" ht="16.2" thickBot="1" x14ac:dyDescent="0.3">
      <c r="A87" s="173"/>
      <c r="B87" s="188" t="s">
        <v>172</v>
      </c>
      <c r="C87" s="122"/>
      <c r="D87" s="122"/>
      <c r="E87" s="122"/>
      <c r="F87" s="122"/>
      <c r="G87" s="122"/>
    </row>
    <row r="92" spans="1:7" x14ac:dyDescent="0.25">
      <c r="B92" s="63"/>
      <c r="C92" s="227"/>
      <c r="D92" s="227"/>
      <c r="E92" s="227"/>
      <c r="F92" s="227"/>
      <c r="G92" s="227"/>
    </row>
  </sheetData>
  <sheetProtection algorithmName="SHA-512" hashValue="CGeLl10UBVlfSWstg+mskqNq2yI24WvS43jpl+NU3qYm57UUVZkUE0f2M7Aho90yIHwYIopoqxsqT9Ca8z10hw==" saltValue="1Uiz/dYxC/xHTe13leB2BQ==" spinCount="100000" sheet="1" objects="1" scenarios="1"/>
  <mergeCells count="61">
    <mergeCell ref="A76:B76"/>
    <mergeCell ref="A1:G1"/>
    <mergeCell ref="A4:G4"/>
    <mergeCell ref="A14:G14"/>
    <mergeCell ref="A21:G21"/>
    <mergeCell ref="A20:G20"/>
    <mergeCell ref="A17:G17"/>
    <mergeCell ref="A11:G11"/>
    <mergeCell ref="A10:G10"/>
    <mergeCell ref="A9:G9"/>
    <mergeCell ref="A3:G3"/>
    <mergeCell ref="A6:G6"/>
    <mergeCell ref="A18:G18"/>
    <mergeCell ref="A13:G13"/>
    <mergeCell ref="A16:G16"/>
    <mergeCell ref="A15:G15"/>
    <mergeCell ref="A7:B7"/>
    <mergeCell ref="A29:G29"/>
    <mergeCell ref="A32:B32"/>
    <mergeCell ref="A2:G2"/>
    <mergeCell ref="A12:B12"/>
    <mergeCell ref="A22:G22"/>
    <mergeCell ref="A19:G19"/>
    <mergeCell ref="A28:G28"/>
    <mergeCell ref="A31:G31"/>
    <mergeCell ref="A25:G25"/>
    <mergeCell ref="A24:G24"/>
    <mergeCell ref="A27:G27"/>
    <mergeCell ref="A26:G26"/>
    <mergeCell ref="A5:B5"/>
    <mergeCell ref="A8:B8"/>
    <mergeCell ref="B70:G70"/>
    <mergeCell ref="A65:G65"/>
    <mergeCell ref="B66:G66"/>
    <mergeCell ref="B63:G63"/>
    <mergeCell ref="B58:G58"/>
    <mergeCell ref="B60:G60"/>
    <mergeCell ref="B59:G59"/>
    <mergeCell ref="B61:G61"/>
    <mergeCell ref="B57:G57"/>
    <mergeCell ref="A54:G54"/>
    <mergeCell ref="B53:G53"/>
    <mergeCell ref="B55:G55"/>
    <mergeCell ref="B50:G50"/>
    <mergeCell ref="B51:B52"/>
    <mergeCell ref="B49:G49"/>
    <mergeCell ref="A23:G23"/>
    <mergeCell ref="B56:G56"/>
    <mergeCell ref="B45:G45"/>
    <mergeCell ref="B37:G37"/>
    <mergeCell ref="A34:G34"/>
    <mergeCell ref="B48:G48"/>
    <mergeCell ref="B38:G38"/>
    <mergeCell ref="A46:G46"/>
    <mergeCell ref="A35:G35"/>
    <mergeCell ref="B41:G41"/>
    <mergeCell ref="A36:G36"/>
    <mergeCell ref="B40:G40"/>
    <mergeCell ref="B47:G47"/>
    <mergeCell ref="A33:G33"/>
    <mergeCell ref="A30:G30"/>
  </mergeCells>
  <phoneticPr fontId="0" type="noConversion"/>
  <hyperlinks>
    <hyperlink ref="B87" r:id="rId1" xr:uid="{A9C8BBB9-AFDE-4067-AE51-0832AFF64F4A}"/>
  </hyperlinks>
  <printOptions horizontalCentered="1"/>
  <pageMargins left="0.51181102362204722" right="0.43307086614173229" top="0.74803149606299213" bottom="0.43307086614173229" header="0.51181102362204722" footer="0.27559055118110237"/>
  <pageSetup paperSize="9" scale="64" fitToHeight="0" orientation="portrait" r:id="rId2"/>
  <headerFooter alignWithMargins="0">
    <oddHeader xml:space="preserve">&amp;C&amp;"Calibri Light,Bold"&amp;12Guidance for Completion of NHS Library Services Statistical Return 2019-20 (Part 1): Staffing&amp;"Arial,Bold"&amp;14
</oddHeader>
    <oddFooter>&amp;LVersion: 18 March 2019&amp;R&amp;"Calibri Light,Regular"&amp;9&amp;P of &amp;N</oddFooter>
  </headerFooter>
  <rowBreaks count="1" manualBreakCount="1">
    <brk id="45" max="7"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D814A4-104E-431A-81FC-00294A8B502D}">
  <sheetPr codeName="Sheet4"/>
  <dimension ref="A1:Y34"/>
  <sheetViews>
    <sheetView topLeftCell="L17" workbookViewId="0">
      <selection activeCell="U2" sqref="U2:U23"/>
    </sheetView>
  </sheetViews>
  <sheetFormatPr defaultRowHeight="13.2" x14ac:dyDescent="0.25"/>
  <cols>
    <col min="1" max="1" width="22.33203125" bestFit="1" customWidth="1"/>
    <col min="3" max="3" width="25.6640625" style="197" customWidth="1"/>
    <col min="5" max="5" width="25.6640625" style="195" customWidth="1"/>
    <col min="7" max="7" width="25.6640625" style="197" customWidth="1"/>
    <col min="9" max="9" width="25.6640625" style="197" customWidth="1"/>
    <col min="11" max="11" width="25.6640625" style="195" customWidth="1"/>
    <col min="13" max="13" width="25.6640625" style="195" customWidth="1"/>
    <col min="15" max="15" width="25.6640625" style="197" customWidth="1"/>
    <col min="17" max="17" width="25.6640625" style="197" customWidth="1"/>
    <col min="18" max="18" width="9.109375" customWidth="1"/>
    <col min="19" max="19" width="25.6640625" style="197" customWidth="1"/>
    <col min="21" max="21" width="25.6640625" style="197" customWidth="1"/>
    <col min="22" max="22" width="9.109375" customWidth="1"/>
    <col min="23" max="23" width="25.6640625" style="197" customWidth="1"/>
  </cols>
  <sheetData>
    <row r="1" spans="1:25" x14ac:dyDescent="0.25">
      <c r="A1" t="s">
        <v>173</v>
      </c>
      <c r="B1" s="191"/>
      <c r="C1" s="196" t="s">
        <v>174</v>
      </c>
      <c r="D1" s="192"/>
      <c r="E1" s="194" t="s">
        <v>175</v>
      </c>
      <c r="F1" s="192"/>
      <c r="G1" s="196" t="s">
        <v>176</v>
      </c>
      <c r="H1" s="192"/>
      <c r="I1" s="196" t="s">
        <v>177</v>
      </c>
      <c r="J1" s="192"/>
      <c r="K1" s="194" t="s">
        <v>178</v>
      </c>
      <c r="L1" s="192"/>
      <c r="M1" s="194" t="s">
        <v>179</v>
      </c>
      <c r="N1" s="192"/>
      <c r="O1" s="196" t="s">
        <v>180</v>
      </c>
      <c r="P1" s="192"/>
      <c r="Q1" s="196" t="s">
        <v>181</v>
      </c>
      <c r="R1" s="192"/>
      <c r="S1" s="196" t="s">
        <v>182</v>
      </c>
      <c r="T1" s="192"/>
      <c r="U1" s="196" t="s">
        <v>183</v>
      </c>
      <c r="V1" s="192"/>
      <c r="W1" s="196" t="s">
        <v>184</v>
      </c>
      <c r="X1" s="193"/>
      <c r="Y1" s="191"/>
    </row>
    <row r="2" spans="1:25" ht="39.6" x14ac:dyDescent="0.25">
      <c r="A2" t="s">
        <v>185</v>
      </c>
      <c r="B2" s="191"/>
      <c r="C2" s="197" t="s">
        <v>186</v>
      </c>
      <c r="E2" s="195" t="s">
        <v>187</v>
      </c>
      <c r="G2" s="197" t="s">
        <v>188</v>
      </c>
      <c r="I2" s="197" t="s">
        <v>189</v>
      </c>
      <c r="K2" s="195" t="s">
        <v>190</v>
      </c>
      <c r="M2" s="197" t="s">
        <v>191</v>
      </c>
      <c r="O2" s="197" t="s">
        <v>192</v>
      </c>
      <c r="Q2" s="197" t="s">
        <v>193</v>
      </c>
      <c r="S2" s="197" t="s">
        <v>203</v>
      </c>
      <c r="U2" s="197" t="s">
        <v>194</v>
      </c>
      <c r="W2" s="197" t="s">
        <v>195</v>
      </c>
    </row>
    <row r="3" spans="1:25" ht="39.6" x14ac:dyDescent="0.25">
      <c r="A3" t="s">
        <v>196</v>
      </c>
      <c r="C3" s="197" t="s">
        <v>197</v>
      </c>
      <c r="E3" s="195" t="s">
        <v>198</v>
      </c>
      <c r="G3" s="197" t="s">
        <v>199</v>
      </c>
      <c r="I3" s="197" t="s">
        <v>200</v>
      </c>
      <c r="K3" s="195" t="s">
        <v>201</v>
      </c>
      <c r="M3" s="195" t="s">
        <v>202</v>
      </c>
      <c r="O3" s="197" t="s">
        <v>203</v>
      </c>
      <c r="Q3" s="197" t="s">
        <v>204</v>
      </c>
      <c r="S3" s="197" t="s">
        <v>417</v>
      </c>
      <c r="U3" s="197" t="s">
        <v>205</v>
      </c>
      <c r="W3" s="197" t="s">
        <v>206</v>
      </c>
    </row>
    <row r="4" spans="1:25" ht="39.6" x14ac:dyDescent="0.25">
      <c r="A4" t="s">
        <v>207</v>
      </c>
      <c r="C4" s="197" t="s">
        <v>208</v>
      </c>
      <c r="E4" s="195" t="s">
        <v>209</v>
      </c>
      <c r="G4" s="197" t="s">
        <v>210</v>
      </c>
      <c r="I4" s="197" t="s">
        <v>211</v>
      </c>
      <c r="K4" s="195" t="s">
        <v>212</v>
      </c>
      <c r="M4" s="195" t="s">
        <v>213</v>
      </c>
      <c r="O4" s="197" t="s">
        <v>214</v>
      </c>
      <c r="Q4" s="197" t="s">
        <v>215</v>
      </c>
      <c r="S4" s="197" t="s">
        <v>216</v>
      </c>
      <c r="U4" s="197" t="s">
        <v>217</v>
      </c>
      <c r="W4" s="197" t="s">
        <v>218</v>
      </c>
    </row>
    <row r="5" spans="1:25" ht="39.6" x14ac:dyDescent="0.25">
      <c r="A5" t="s">
        <v>177</v>
      </c>
      <c r="C5" s="197" t="s">
        <v>219</v>
      </c>
      <c r="E5" s="195" t="s">
        <v>220</v>
      </c>
      <c r="G5" s="197" t="s">
        <v>221</v>
      </c>
      <c r="I5" s="197" t="s">
        <v>222</v>
      </c>
      <c r="K5" s="195" t="s">
        <v>223</v>
      </c>
      <c r="M5" s="195" t="s">
        <v>224</v>
      </c>
      <c r="O5" s="197" t="s">
        <v>225</v>
      </c>
      <c r="Q5" s="197" t="s">
        <v>215</v>
      </c>
      <c r="S5" s="197" t="s">
        <v>226</v>
      </c>
      <c r="U5" s="197" t="s">
        <v>227</v>
      </c>
      <c r="W5" s="197" t="s">
        <v>228</v>
      </c>
    </row>
    <row r="6" spans="1:25" ht="39.6" x14ac:dyDescent="0.25">
      <c r="A6" t="s">
        <v>229</v>
      </c>
      <c r="C6" s="197" t="s">
        <v>230</v>
      </c>
      <c r="E6" s="195" t="s">
        <v>231</v>
      </c>
      <c r="G6" s="197" t="s">
        <v>232</v>
      </c>
      <c r="I6" s="197" t="s">
        <v>233</v>
      </c>
      <c r="K6" s="195" t="s">
        <v>234</v>
      </c>
      <c r="M6" s="195" t="s">
        <v>235</v>
      </c>
      <c r="O6" s="197" t="s">
        <v>236</v>
      </c>
      <c r="Q6" s="197" t="s">
        <v>237</v>
      </c>
      <c r="S6" s="197" t="s">
        <v>238</v>
      </c>
      <c r="U6" s="197" t="s">
        <v>239</v>
      </c>
      <c r="W6" s="197" t="s">
        <v>240</v>
      </c>
    </row>
    <row r="7" spans="1:25" ht="39.6" x14ac:dyDescent="0.25">
      <c r="A7" t="s">
        <v>241</v>
      </c>
      <c r="C7" s="197" t="s">
        <v>242</v>
      </c>
      <c r="E7" s="195" t="s">
        <v>243</v>
      </c>
      <c r="G7" s="197" t="s">
        <v>244</v>
      </c>
      <c r="I7" s="197" t="s">
        <v>245</v>
      </c>
      <c r="K7" s="195" t="s">
        <v>246</v>
      </c>
      <c r="M7" s="195" t="s">
        <v>247</v>
      </c>
      <c r="O7" s="197" t="s">
        <v>248</v>
      </c>
      <c r="Q7" s="197" t="s">
        <v>249</v>
      </c>
      <c r="U7" s="197" t="s">
        <v>250</v>
      </c>
      <c r="W7" s="197" t="s">
        <v>251</v>
      </c>
    </row>
    <row r="8" spans="1:25" ht="39.6" x14ac:dyDescent="0.25">
      <c r="A8" t="s">
        <v>252</v>
      </c>
      <c r="C8" s="197" t="s">
        <v>253</v>
      </c>
      <c r="E8" s="195" t="s">
        <v>254</v>
      </c>
      <c r="G8" s="197" t="s">
        <v>255</v>
      </c>
      <c r="I8" s="197" t="s">
        <v>256</v>
      </c>
      <c r="K8" s="195" t="s">
        <v>257</v>
      </c>
      <c r="M8" s="195" t="s">
        <v>258</v>
      </c>
      <c r="O8" s="197" t="s">
        <v>259</v>
      </c>
      <c r="Q8" s="197" t="s">
        <v>260</v>
      </c>
      <c r="U8" s="197" t="s">
        <v>261</v>
      </c>
      <c r="W8" s="197" t="s">
        <v>262</v>
      </c>
    </row>
    <row r="9" spans="1:25" ht="39.6" x14ac:dyDescent="0.25">
      <c r="A9" t="s">
        <v>263</v>
      </c>
      <c r="C9" s="197" t="s">
        <v>264</v>
      </c>
      <c r="E9" s="195" t="s">
        <v>265</v>
      </c>
      <c r="G9" s="197" t="s">
        <v>266</v>
      </c>
      <c r="I9" s="197" t="s">
        <v>267</v>
      </c>
      <c r="K9" s="195" t="s">
        <v>268</v>
      </c>
      <c r="M9" s="195" t="s">
        <v>269</v>
      </c>
      <c r="O9" s="197" t="s">
        <v>270</v>
      </c>
      <c r="Q9" s="197" t="s">
        <v>271</v>
      </c>
      <c r="U9" s="197" t="s">
        <v>272</v>
      </c>
      <c r="W9" s="197" t="s">
        <v>273</v>
      </c>
    </row>
    <row r="10" spans="1:25" ht="39.6" x14ac:dyDescent="0.25">
      <c r="A10" t="s">
        <v>182</v>
      </c>
      <c r="C10" s="197" t="s">
        <v>274</v>
      </c>
      <c r="E10" s="195" t="s">
        <v>275</v>
      </c>
      <c r="G10" s="197" t="s">
        <v>276</v>
      </c>
      <c r="I10" s="197" t="s">
        <v>277</v>
      </c>
      <c r="K10" s="195" t="s">
        <v>278</v>
      </c>
      <c r="M10" s="195" t="s">
        <v>279</v>
      </c>
      <c r="O10" s="197" t="s">
        <v>280</v>
      </c>
      <c r="U10" s="197" t="s">
        <v>281</v>
      </c>
      <c r="W10" s="197" t="s">
        <v>282</v>
      </c>
    </row>
    <row r="11" spans="1:25" ht="39.6" x14ac:dyDescent="0.25">
      <c r="A11" t="s">
        <v>283</v>
      </c>
      <c r="C11" s="197" t="s">
        <v>284</v>
      </c>
      <c r="E11" s="195" t="s">
        <v>285</v>
      </c>
      <c r="G11" s="197" t="s">
        <v>286</v>
      </c>
      <c r="I11" s="197" t="s">
        <v>287</v>
      </c>
      <c r="K11" s="195" t="s">
        <v>288</v>
      </c>
      <c r="M11" s="195" t="s">
        <v>289</v>
      </c>
      <c r="O11" s="197" t="s">
        <v>290</v>
      </c>
      <c r="U11" s="197" t="s">
        <v>291</v>
      </c>
      <c r="W11" s="197" t="s">
        <v>292</v>
      </c>
    </row>
    <row r="12" spans="1:25" ht="39.6" x14ac:dyDescent="0.25">
      <c r="A12" t="s">
        <v>293</v>
      </c>
      <c r="E12" s="195" t="s">
        <v>294</v>
      </c>
      <c r="G12" s="197" t="s">
        <v>295</v>
      </c>
      <c r="I12" s="197" t="s">
        <v>296</v>
      </c>
      <c r="M12" s="195" t="s">
        <v>297</v>
      </c>
      <c r="O12" s="197" t="s">
        <v>298</v>
      </c>
      <c r="U12" s="197" t="s">
        <v>299</v>
      </c>
      <c r="W12" s="197" t="s">
        <v>300</v>
      </c>
    </row>
    <row r="13" spans="1:25" ht="39.6" x14ac:dyDescent="0.25">
      <c r="E13" s="195" t="s">
        <v>301</v>
      </c>
      <c r="I13" s="197" t="s">
        <v>302</v>
      </c>
      <c r="M13" s="195" t="s">
        <v>297</v>
      </c>
      <c r="O13" s="197" t="s">
        <v>303</v>
      </c>
      <c r="U13" s="197" t="s">
        <v>304</v>
      </c>
      <c r="W13" s="197" t="s">
        <v>305</v>
      </c>
    </row>
    <row r="14" spans="1:25" ht="39.6" x14ac:dyDescent="0.25">
      <c r="E14" s="195" t="s">
        <v>306</v>
      </c>
      <c r="I14" s="197" t="s">
        <v>307</v>
      </c>
      <c r="M14" s="195" t="s">
        <v>308</v>
      </c>
      <c r="O14" s="197" t="s">
        <v>309</v>
      </c>
      <c r="U14" s="197" t="s">
        <v>310</v>
      </c>
      <c r="W14" s="197" t="s">
        <v>311</v>
      </c>
    </row>
    <row r="15" spans="1:25" ht="39.6" x14ac:dyDescent="0.25">
      <c r="E15" s="195" t="s">
        <v>312</v>
      </c>
      <c r="I15" s="197" t="s">
        <v>313</v>
      </c>
      <c r="M15" s="195" t="s">
        <v>314</v>
      </c>
      <c r="O15" s="197" t="s">
        <v>315</v>
      </c>
      <c r="U15" s="197" t="s">
        <v>316</v>
      </c>
      <c r="W15" s="197" t="s">
        <v>317</v>
      </c>
    </row>
    <row r="16" spans="1:25" ht="39.6" x14ac:dyDescent="0.25">
      <c r="E16" s="195" t="s">
        <v>318</v>
      </c>
      <c r="I16" s="197" t="s">
        <v>319</v>
      </c>
      <c r="M16" s="195" t="s">
        <v>320</v>
      </c>
      <c r="O16" s="197" t="s">
        <v>321</v>
      </c>
      <c r="U16" s="197" t="s">
        <v>322</v>
      </c>
      <c r="W16" s="197" t="s">
        <v>323</v>
      </c>
    </row>
    <row r="17" spans="5:23" ht="26.4" x14ac:dyDescent="0.25">
      <c r="E17" s="195" t="s">
        <v>324</v>
      </c>
      <c r="I17" s="197" t="s">
        <v>325</v>
      </c>
      <c r="M17" s="195" t="s">
        <v>326</v>
      </c>
      <c r="O17" s="197" t="s">
        <v>327</v>
      </c>
      <c r="U17" s="197" t="s">
        <v>328</v>
      </c>
      <c r="W17" s="197" t="s">
        <v>329</v>
      </c>
    </row>
    <row r="18" spans="5:23" ht="39.6" x14ac:dyDescent="0.25">
      <c r="E18" s="195" t="s">
        <v>330</v>
      </c>
      <c r="I18" s="197" t="s">
        <v>331</v>
      </c>
      <c r="M18" s="195" t="s">
        <v>332</v>
      </c>
      <c r="U18" s="197" t="s">
        <v>333</v>
      </c>
      <c r="W18" s="197" t="s">
        <v>334</v>
      </c>
    </row>
    <row r="19" spans="5:23" ht="26.4" x14ac:dyDescent="0.25">
      <c r="I19" s="197" t="s">
        <v>335</v>
      </c>
      <c r="M19" s="195" t="s">
        <v>336</v>
      </c>
      <c r="U19" s="197" t="s">
        <v>337</v>
      </c>
      <c r="W19" s="197" t="s">
        <v>338</v>
      </c>
    </row>
    <row r="20" spans="5:23" ht="26.4" x14ac:dyDescent="0.25">
      <c r="I20" s="197" t="s">
        <v>339</v>
      </c>
      <c r="M20" s="195" t="s">
        <v>340</v>
      </c>
      <c r="U20" s="197" t="s">
        <v>341</v>
      </c>
    </row>
    <row r="21" spans="5:23" ht="26.4" x14ac:dyDescent="0.25">
      <c r="I21" s="197" t="s">
        <v>342</v>
      </c>
      <c r="M21" s="195" t="s">
        <v>343</v>
      </c>
      <c r="U21" s="197" t="s">
        <v>344</v>
      </c>
    </row>
    <row r="22" spans="5:23" ht="39.6" x14ac:dyDescent="0.25">
      <c r="I22" s="197" t="s">
        <v>345</v>
      </c>
      <c r="M22" s="195" t="s">
        <v>346</v>
      </c>
      <c r="U22" s="197" t="s">
        <v>347</v>
      </c>
    </row>
    <row r="23" spans="5:23" ht="26.4" x14ac:dyDescent="0.25">
      <c r="I23" s="197" t="s">
        <v>348</v>
      </c>
      <c r="M23" s="195" t="s">
        <v>349</v>
      </c>
      <c r="U23" s="197" t="s">
        <v>350</v>
      </c>
    </row>
    <row r="24" spans="5:23" ht="26.4" x14ac:dyDescent="0.25">
      <c r="I24" s="197" t="s">
        <v>351</v>
      </c>
      <c r="M24" s="195" t="s">
        <v>352</v>
      </c>
    </row>
    <row r="25" spans="5:23" ht="39.6" x14ac:dyDescent="0.25">
      <c r="I25" s="197" t="s">
        <v>353</v>
      </c>
      <c r="M25" s="195" t="s">
        <v>354</v>
      </c>
    </row>
    <row r="26" spans="5:23" ht="26.4" x14ac:dyDescent="0.25">
      <c r="I26" s="197" t="s">
        <v>355</v>
      </c>
      <c r="M26" s="195" t="s">
        <v>356</v>
      </c>
    </row>
    <row r="27" spans="5:23" ht="39.6" x14ac:dyDescent="0.25">
      <c r="I27" s="197" t="s">
        <v>357</v>
      </c>
      <c r="M27" s="195" t="s">
        <v>358</v>
      </c>
    </row>
    <row r="28" spans="5:23" ht="39.6" x14ac:dyDescent="0.25">
      <c r="I28" s="197" t="s">
        <v>359</v>
      </c>
      <c r="M28" s="195" t="s">
        <v>360</v>
      </c>
    </row>
    <row r="29" spans="5:23" ht="39.6" x14ac:dyDescent="0.25">
      <c r="I29" s="197" t="s">
        <v>361</v>
      </c>
      <c r="M29" s="195" t="s">
        <v>362</v>
      </c>
    </row>
    <row r="30" spans="5:23" ht="39.6" x14ac:dyDescent="0.25">
      <c r="I30" s="197" t="s">
        <v>363</v>
      </c>
      <c r="M30" s="195" t="s">
        <v>364</v>
      </c>
    </row>
    <row r="31" spans="5:23" ht="39.6" x14ac:dyDescent="0.25">
      <c r="I31" s="197" t="s">
        <v>365</v>
      </c>
      <c r="M31" s="195" t="s">
        <v>366</v>
      </c>
    </row>
    <row r="32" spans="5:23" ht="39.6" x14ac:dyDescent="0.25">
      <c r="I32" s="197" t="s">
        <v>367</v>
      </c>
      <c r="M32" s="195" t="s">
        <v>368</v>
      </c>
    </row>
    <row r="33" spans="13:13" ht="39.6" x14ac:dyDescent="0.25">
      <c r="M33" s="195" t="s">
        <v>369</v>
      </c>
    </row>
    <row r="34" spans="13:13" ht="26.4" x14ac:dyDescent="0.25">
      <c r="M34" s="195" t="s">
        <v>370</v>
      </c>
    </row>
  </sheetData>
  <pageMargins left="0.7" right="0.7" top="0.75" bottom="0.75"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2:M200"/>
  <sheetViews>
    <sheetView showGridLines="0" zoomScaleNormal="100" workbookViewId="0">
      <selection activeCell="A6" sqref="A6"/>
    </sheetView>
  </sheetViews>
  <sheetFormatPr defaultRowHeight="13.8" x14ac:dyDescent="0.3"/>
  <cols>
    <col min="1" max="1" width="9.44140625" style="1" customWidth="1"/>
    <col min="9" max="9" width="14.6640625" customWidth="1"/>
    <col min="10" max="10" width="15.88671875" customWidth="1"/>
    <col min="11" max="11" width="10.44140625" bestFit="1" customWidth="1"/>
    <col min="12" max="12" width="6.33203125" customWidth="1"/>
  </cols>
  <sheetData>
    <row r="2" spans="1:13" x14ac:dyDescent="0.3">
      <c r="A2" s="21" t="s">
        <v>371</v>
      </c>
      <c r="I2" s="53" t="s">
        <v>372</v>
      </c>
      <c r="J2" s="54" t="s">
        <v>373</v>
      </c>
      <c r="K2" s="54" t="s">
        <v>374</v>
      </c>
      <c r="L2" s="54" t="s">
        <v>375</v>
      </c>
    </row>
    <row r="3" spans="1:13" x14ac:dyDescent="0.3">
      <c r="A3" s="22" t="s">
        <v>174</v>
      </c>
      <c r="I3" s="53" t="s">
        <v>376</v>
      </c>
      <c r="J3" s="55"/>
      <c r="K3" s="56">
        <v>43546</v>
      </c>
      <c r="L3" s="55" t="s">
        <v>377</v>
      </c>
    </row>
    <row r="4" spans="1:13" x14ac:dyDescent="0.3">
      <c r="A4" s="22" t="s">
        <v>175</v>
      </c>
      <c r="I4" s="53" t="s">
        <v>378</v>
      </c>
      <c r="J4" s="55"/>
      <c r="K4" s="56">
        <v>43538</v>
      </c>
      <c r="L4" s="55" t="s">
        <v>379</v>
      </c>
      <c r="M4" s="4"/>
    </row>
    <row r="5" spans="1:13" x14ac:dyDescent="0.3">
      <c r="A5" s="22" t="s">
        <v>176</v>
      </c>
      <c r="I5" s="53" t="s">
        <v>380</v>
      </c>
      <c r="J5" s="55"/>
      <c r="K5" s="56">
        <v>43503</v>
      </c>
      <c r="L5" s="55" t="s">
        <v>377</v>
      </c>
      <c r="M5" s="4"/>
    </row>
    <row r="6" spans="1:13" x14ac:dyDescent="0.3">
      <c r="A6" s="22" t="s">
        <v>177</v>
      </c>
      <c r="I6" s="53" t="s">
        <v>381</v>
      </c>
      <c r="J6" s="55"/>
      <c r="K6" s="56">
        <v>43538</v>
      </c>
      <c r="L6" s="55" t="s">
        <v>379</v>
      </c>
    </row>
    <row r="7" spans="1:13" x14ac:dyDescent="0.3">
      <c r="A7" s="22" t="s">
        <v>178</v>
      </c>
      <c r="I7" s="53" t="s">
        <v>382</v>
      </c>
      <c r="J7" s="55"/>
      <c r="K7" s="56">
        <v>43538</v>
      </c>
      <c r="L7" s="55" t="s">
        <v>377</v>
      </c>
    </row>
    <row r="8" spans="1:13" x14ac:dyDescent="0.3">
      <c r="A8" s="22" t="s">
        <v>179</v>
      </c>
      <c r="I8" s="53" t="s">
        <v>383</v>
      </c>
      <c r="J8" s="55"/>
      <c r="K8" s="56">
        <v>43546</v>
      </c>
      <c r="L8" s="55" t="s">
        <v>377</v>
      </c>
    </row>
    <row r="9" spans="1:13" x14ac:dyDescent="0.3">
      <c r="A9" s="22" t="s">
        <v>180</v>
      </c>
    </row>
    <row r="10" spans="1:13" x14ac:dyDescent="0.3">
      <c r="A10" s="22" t="s">
        <v>181</v>
      </c>
      <c r="I10" s="57" t="s">
        <v>384</v>
      </c>
      <c r="J10" s="57" t="s">
        <v>385</v>
      </c>
    </row>
    <row r="11" spans="1:13" x14ac:dyDescent="0.3">
      <c r="A11" s="22" t="s">
        <v>182</v>
      </c>
      <c r="I11" s="57"/>
      <c r="J11" s="57" t="s">
        <v>386</v>
      </c>
    </row>
    <row r="12" spans="1:13" x14ac:dyDescent="0.3">
      <c r="A12" s="22" t="s">
        <v>183</v>
      </c>
      <c r="I12" s="57"/>
      <c r="J12" s="57" t="s">
        <v>387</v>
      </c>
    </row>
    <row r="13" spans="1:13" x14ac:dyDescent="0.3">
      <c r="A13" s="22" t="s">
        <v>184</v>
      </c>
      <c r="I13" s="57"/>
      <c r="J13" s="57" t="s">
        <v>388</v>
      </c>
    </row>
    <row r="15" spans="1:13" x14ac:dyDescent="0.3">
      <c r="A15" s="21" t="s">
        <v>389</v>
      </c>
    </row>
    <row r="16" spans="1:13" x14ac:dyDescent="0.3">
      <c r="A16" s="20" t="s">
        <v>390</v>
      </c>
    </row>
    <row r="17" spans="1:1" x14ac:dyDescent="0.3">
      <c r="A17" s="20" t="s">
        <v>391</v>
      </c>
    </row>
    <row r="18" spans="1:1" x14ac:dyDescent="0.3">
      <c r="A18" s="20" t="s">
        <v>392</v>
      </c>
    </row>
    <row r="19" spans="1:1" x14ac:dyDescent="0.3">
      <c r="A19" s="20" t="s">
        <v>393</v>
      </c>
    </row>
    <row r="20" spans="1:1" x14ac:dyDescent="0.3">
      <c r="A20" s="20" t="s">
        <v>394</v>
      </c>
    </row>
    <row r="22" spans="1:1" x14ac:dyDescent="0.3">
      <c r="A22" s="21" t="s">
        <v>395</v>
      </c>
    </row>
    <row r="23" spans="1:1" x14ac:dyDescent="0.3">
      <c r="A23" s="20" t="s">
        <v>396</v>
      </c>
    </row>
    <row r="24" spans="1:1" x14ac:dyDescent="0.3">
      <c r="A24" s="20" t="s">
        <v>397</v>
      </c>
    </row>
    <row r="25" spans="1:1" x14ac:dyDescent="0.3">
      <c r="A25" s="20" t="s">
        <v>398</v>
      </c>
    </row>
    <row r="26" spans="1:1" x14ac:dyDescent="0.3">
      <c r="A26" s="20" t="s">
        <v>399</v>
      </c>
    </row>
    <row r="27" spans="1:1" x14ac:dyDescent="0.3">
      <c r="A27" s="20" t="s">
        <v>400</v>
      </c>
    </row>
    <row r="28" spans="1:1" x14ac:dyDescent="0.3">
      <c r="A28" s="20" t="s">
        <v>401</v>
      </c>
    </row>
    <row r="29" spans="1:1" x14ac:dyDescent="0.3">
      <c r="A29" s="20" t="s">
        <v>402</v>
      </c>
    </row>
    <row r="30" spans="1:1" x14ac:dyDescent="0.3">
      <c r="A30" s="20" t="s">
        <v>403</v>
      </c>
    </row>
    <row r="31" spans="1:1" x14ac:dyDescent="0.3">
      <c r="A31" s="20" t="s">
        <v>404</v>
      </c>
    </row>
    <row r="32" spans="1:1" x14ac:dyDescent="0.3">
      <c r="A32" s="20" t="s">
        <v>405</v>
      </c>
    </row>
    <row r="33" spans="1:1" x14ac:dyDescent="0.3">
      <c r="A33" s="20" t="s">
        <v>406</v>
      </c>
    </row>
    <row r="34" spans="1:1" x14ac:dyDescent="0.3">
      <c r="A34" s="20" t="s">
        <v>407</v>
      </c>
    </row>
    <row r="35" spans="1:1" x14ac:dyDescent="0.3">
      <c r="A35" s="20" t="s">
        <v>408</v>
      </c>
    </row>
    <row r="36" spans="1:1" x14ac:dyDescent="0.3">
      <c r="A36" s="20" t="s">
        <v>409</v>
      </c>
    </row>
    <row r="37" spans="1:1" x14ac:dyDescent="0.3">
      <c r="A37" s="20" t="s">
        <v>410</v>
      </c>
    </row>
    <row r="38" spans="1:1" x14ac:dyDescent="0.3">
      <c r="A38" s="20" t="s">
        <v>411</v>
      </c>
    </row>
    <row r="39" spans="1:1" x14ac:dyDescent="0.3">
      <c r="A39" s="20" t="s">
        <v>412</v>
      </c>
    </row>
    <row r="40" spans="1:1" x14ac:dyDescent="0.3">
      <c r="A40" s="20" t="s">
        <v>413</v>
      </c>
    </row>
    <row r="41" spans="1:1" x14ac:dyDescent="0.3">
      <c r="A41" s="20" t="s">
        <v>414</v>
      </c>
    </row>
    <row r="42" spans="1:1" x14ac:dyDescent="0.3">
      <c r="A42" s="20" t="s">
        <v>415</v>
      </c>
    </row>
    <row r="43" spans="1:1" x14ac:dyDescent="0.3">
      <c r="A43" s="20" t="s">
        <v>416</v>
      </c>
    </row>
    <row r="44" spans="1:1" x14ac:dyDescent="0.25">
      <c r="A44" s="5"/>
    </row>
    <row r="45" spans="1:1" x14ac:dyDescent="0.25">
      <c r="A45" s="32"/>
    </row>
    <row r="46" spans="1:1" x14ac:dyDescent="0.3">
      <c r="A46" s="37"/>
    </row>
    <row r="47" spans="1:1" x14ac:dyDescent="0.3">
      <c r="A47" s="38"/>
    </row>
    <row r="48" spans="1:1" x14ac:dyDescent="0.3">
      <c r="A48" s="36"/>
    </row>
    <row r="49" spans="1:1" x14ac:dyDescent="0.3">
      <c r="A49" s="12"/>
    </row>
    <row r="50" spans="1:1" x14ac:dyDescent="0.3">
      <c r="A50" s="12"/>
    </row>
    <row r="51" spans="1:1" x14ac:dyDescent="0.25">
      <c r="A51" s="5"/>
    </row>
    <row r="52" spans="1:1" x14ac:dyDescent="0.25">
      <c r="A52" s="5"/>
    </row>
    <row r="53" spans="1:1" x14ac:dyDescent="0.25">
      <c r="A53" s="5"/>
    </row>
    <row r="54" spans="1:1" x14ac:dyDescent="0.25">
      <c r="A54" s="5"/>
    </row>
    <row r="55" spans="1:1" x14ac:dyDescent="0.25">
      <c r="A55" s="5"/>
    </row>
    <row r="56" spans="1:1" x14ac:dyDescent="0.25">
      <c r="A56" s="5"/>
    </row>
    <row r="57" spans="1:1" x14ac:dyDescent="0.25">
      <c r="A57" s="5"/>
    </row>
    <row r="58" spans="1:1" x14ac:dyDescent="0.25">
      <c r="A58" s="5"/>
    </row>
    <row r="59" spans="1:1" x14ac:dyDescent="0.25">
      <c r="A59" s="5"/>
    </row>
    <row r="60" spans="1:1" x14ac:dyDescent="0.25">
      <c r="A60" s="5"/>
    </row>
    <row r="61" spans="1:1" x14ac:dyDescent="0.25">
      <c r="A61" s="5"/>
    </row>
    <row r="62" spans="1:1" x14ac:dyDescent="0.25">
      <c r="A62" s="5"/>
    </row>
    <row r="63" spans="1:1" x14ac:dyDescent="0.25">
      <c r="A63" s="5"/>
    </row>
    <row r="64" spans="1:1" x14ac:dyDescent="0.25">
      <c r="A64" s="5"/>
    </row>
    <row r="65" spans="1:1" x14ac:dyDescent="0.25">
      <c r="A65" s="5"/>
    </row>
    <row r="66" spans="1:1" x14ac:dyDescent="0.25">
      <c r="A66" s="5"/>
    </row>
    <row r="67" spans="1:1" x14ac:dyDescent="0.25">
      <c r="A67" s="5"/>
    </row>
    <row r="68" spans="1:1" x14ac:dyDescent="0.25">
      <c r="A68" s="5"/>
    </row>
    <row r="69" spans="1:1" x14ac:dyDescent="0.25">
      <c r="A69" s="5"/>
    </row>
    <row r="70" spans="1:1" x14ac:dyDescent="0.25">
      <c r="A70" s="5"/>
    </row>
    <row r="71" spans="1:1" x14ac:dyDescent="0.25">
      <c r="A71" s="5"/>
    </row>
    <row r="72" spans="1:1" x14ac:dyDescent="0.25">
      <c r="A72" s="5"/>
    </row>
    <row r="73" spans="1:1" x14ac:dyDescent="0.25">
      <c r="A73" s="5"/>
    </row>
    <row r="74" spans="1:1" x14ac:dyDescent="0.25">
      <c r="A74" s="5"/>
    </row>
    <row r="75" spans="1:1" x14ac:dyDescent="0.25">
      <c r="A75" s="5"/>
    </row>
    <row r="76" spans="1:1" x14ac:dyDescent="0.25">
      <c r="A76" s="5"/>
    </row>
    <row r="77" spans="1:1" x14ac:dyDescent="0.25">
      <c r="A77" s="5"/>
    </row>
    <row r="78" spans="1:1" x14ac:dyDescent="0.25">
      <c r="A78" s="5"/>
    </row>
    <row r="79" spans="1:1" x14ac:dyDescent="0.25">
      <c r="A79" s="5"/>
    </row>
    <row r="80" spans="1:1" x14ac:dyDescent="0.25">
      <c r="A80" s="5"/>
    </row>
    <row r="81" spans="1:1" x14ac:dyDescent="0.25">
      <c r="A81" s="5"/>
    </row>
    <row r="82" spans="1:1" x14ac:dyDescent="0.25">
      <c r="A82" s="5"/>
    </row>
    <row r="83" spans="1:1" x14ac:dyDescent="0.25">
      <c r="A83" s="5"/>
    </row>
    <row r="84" spans="1:1" x14ac:dyDescent="0.25">
      <c r="A84" s="5"/>
    </row>
    <row r="85" spans="1:1" x14ac:dyDescent="0.25">
      <c r="A85" s="5"/>
    </row>
    <row r="86" spans="1:1" x14ac:dyDescent="0.25">
      <c r="A86" s="5"/>
    </row>
    <row r="87" spans="1:1" x14ac:dyDescent="0.25">
      <c r="A87" s="5"/>
    </row>
    <row r="88" spans="1:1" x14ac:dyDescent="0.25">
      <c r="A88" s="5"/>
    </row>
    <row r="89" spans="1:1" x14ac:dyDescent="0.25">
      <c r="A89" s="5"/>
    </row>
    <row r="90" spans="1:1" x14ac:dyDescent="0.25">
      <c r="A90" s="14"/>
    </row>
    <row r="91" spans="1:1" x14ac:dyDescent="0.25">
      <c r="A91" s="14"/>
    </row>
    <row r="92" spans="1:1" x14ac:dyDescent="0.25">
      <c r="A92" s="14"/>
    </row>
    <row r="93" spans="1:1" x14ac:dyDescent="0.25">
      <c r="A93" s="14"/>
    </row>
    <row r="94" spans="1:1" x14ac:dyDescent="0.25">
      <c r="A94" s="14"/>
    </row>
    <row r="95" spans="1:1" x14ac:dyDescent="0.25">
      <c r="A95" s="14"/>
    </row>
    <row r="96" spans="1:1" x14ac:dyDescent="0.25">
      <c r="A96" s="5"/>
    </row>
    <row r="97" spans="1:1" x14ac:dyDescent="0.25">
      <c r="A97" s="5"/>
    </row>
    <row r="98" spans="1:1" x14ac:dyDescent="0.25">
      <c r="A98" s="5"/>
    </row>
    <row r="99" spans="1:1" x14ac:dyDescent="0.25">
      <c r="A99" s="5"/>
    </row>
    <row r="100" spans="1:1" x14ac:dyDescent="0.25">
      <c r="A100" s="5"/>
    </row>
    <row r="101" spans="1:1" x14ac:dyDescent="0.25">
      <c r="A101" s="5"/>
    </row>
    <row r="102" spans="1:1" x14ac:dyDescent="0.25">
      <c r="A102" s="5"/>
    </row>
    <row r="103" spans="1:1" x14ac:dyDescent="0.25">
      <c r="A103" s="5"/>
    </row>
    <row r="104" spans="1:1" x14ac:dyDescent="0.25">
      <c r="A104" s="5"/>
    </row>
    <row r="105" spans="1:1" x14ac:dyDescent="0.25">
      <c r="A105" s="5"/>
    </row>
    <row r="106" spans="1:1" x14ac:dyDescent="0.25">
      <c r="A106" s="5"/>
    </row>
    <row r="107" spans="1:1" x14ac:dyDescent="0.25">
      <c r="A107" s="5"/>
    </row>
    <row r="108" spans="1:1" x14ac:dyDescent="0.25">
      <c r="A108" s="5"/>
    </row>
    <row r="109" spans="1:1" x14ac:dyDescent="0.25">
      <c r="A109" s="5"/>
    </row>
    <row r="110" spans="1:1" x14ac:dyDescent="0.25">
      <c r="A110" s="5"/>
    </row>
    <row r="111" spans="1:1" x14ac:dyDescent="0.25">
      <c r="A111" s="5"/>
    </row>
    <row r="112" spans="1:1" x14ac:dyDescent="0.25">
      <c r="A112" s="5"/>
    </row>
    <row r="113" spans="1:1" x14ac:dyDescent="0.25">
      <c r="A113" s="5"/>
    </row>
    <row r="114" spans="1:1" x14ac:dyDescent="0.25">
      <c r="A114" s="5"/>
    </row>
    <row r="115" spans="1:1" x14ac:dyDescent="0.25">
      <c r="A115" s="5"/>
    </row>
    <row r="116" spans="1:1" x14ac:dyDescent="0.25">
      <c r="A116" s="5"/>
    </row>
    <row r="117" spans="1:1" x14ac:dyDescent="0.25">
      <c r="A117" s="5"/>
    </row>
    <row r="118" spans="1:1" x14ac:dyDescent="0.25">
      <c r="A118" s="5"/>
    </row>
    <row r="119" spans="1:1" x14ac:dyDescent="0.25">
      <c r="A119" s="5"/>
    </row>
    <row r="120" spans="1:1" x14ac:dyDescent="0.25">
      <c r="A120" s="5"/>
    </row>
    <row r="121" spans="1:1" x14ac:dyDescent="0.25">
      <c r="A121" s="5"/>
    </row>
    <row r="122" spans="1:1" x14ac:dyDescent="0.25">
      <c r="A122" s="5"/>
    </row>
    <row r="123" spans="1:1" x14ac:dyDescent="0.25">
      <c r="A123" s="5"/>
    </row>
    <row r="124" spans="1:1" x14ac:dyDescent="0.25">
      <c r="A124" s="5"/>
    </row>
    <row r="125" spans="1:1" x14ac:dyDescent="0.25">
      <c r="A125" s="5"/>
    </row>
    <row r="126" spans="1:1" x14ac:dyDescent="0.25">
      <c r="A126" s="5"/>
    </row>
    <row r="127" spans="1:1" x14ac:dyDescent="0.25">
      <c r="A127" s="5"/>
    </row>
    <row r="128" spans="1:1" x14ac:dyDescent="0.25">
      <c r="A128" s="5"/>
    </row>
    <row r="129" spans="1:1" x14ac:dyDescent="0.25">
      <c r="A129" s="5"/>
    </row>
    <row r="130" spans="1:1" x14ac:dyDescent="0.25">
      <c r="A130" s="5"/>
    </row>
    <row r="131" spans="1:1" x14ac:dyDescent="0.25">
      <c r="A131" s="5"/>
    </row>
    <row r="132" spans="1:1" x14ac:dyDescent="0.25">
      <c r="A132" s="5"/>
    </row>
    <row r="133" spans="1:1" x14ac:dyDescent="0.25">
      <c r="A133" s="5"/>
    </row>
    <row r="134" spans="1:1" x14ac:dyDescent="0.25">
      <c r="A134" s="5"/>
    </row>
    <row r="135" spans="1:1" x14ac:dyDescent="0.25">
      <c r="A135" s="5"/>
    </row>
    <row r="136" spans="1:1" x14ac:dyDescent="0.25">
      <c r="A136" s="5"/>
    </row>
    <row r="137" spans="1:1" x14ac:dyDescent="0.25">
      <c r="A137" s="5"/>
    </row>
    <row r="138" spans="1:1" x14ac:dyDescent="0.25">
      <c r="A138" s="5"/>
    </row>
    <row r="139" spans="1:1" x14ac:dyDescent="0.25">
      <c r="A139" s="5"/>
    </row>
    <row r="140" spans="1:1" x14ac:dyDescent="0.25">
      <c r="A140" s="5"/>
    </row>
    <row r="141" spans="1:1" x14ac:dyDescent="0.25">
      <c r="A141" s="5"/>
    </row>
    <row r="142" spans="1:1" x14ac:dyDescent="0.25">
      <c r="A142" s="5"/>
    </row>
    <row r="143" spans="1:1" x14ac:dyDescent="0.25">
      <c r="A143" s="5"/>
    </row>
    <row r="144" spans="1:1" x14ac:dyDescent="0.25">
      <c r="A144" s="5"/>
    </row>
    <row r="145" spans="1:1" x14ac:dyDescent="0.25">
      <c r="A145" s="5"/>
    </row>
    <row r="146" spans="1:1" x14ac:dyDescent="0.25">
      <c r="A146" s="5"/>
    </row>
    <row r="147" spans="1:1" x14ac:dyDescent="0.25">
      <c r="A147" s="5"/>
    </row>
    <row r="148" spans="1:1" x14ac:dyDescent="0.25">
      <c r="A148" s="5"/>
    </row>
    <row r="149" spans="1:1" x14ac:dyDescent="0.25">
      <c r="A149" s="5"/>
    </row>
    <row r="150" spans="1:1" x14ac:dyDescent="0.25">
      <c r="A150" s="5"/>
    </row>
    <row r="151" spans="1:1" x14ac:dyDescent="0.25">
      <c r="A151" s="5"/>
    </row>
    <row r="152" spans="1:1" x14ac:dyDescent="0.25">
      <c r="A152" s="5"/>
    </row>
    <row r="153" spans="1:1" x14ac:dyDescent="0.25">
      <c r="A153" s="5"/>
    </row>
    <row r="154" spans="1:1" x14ac:dyDescent="0.25">
      <c r="A154" s="5"/>
    </row>
    <row r="155" spans="1:1" x14ac:dyDescent="0.25">
      <c r="A155" s="5"/>
    </row>
    <row r="156" spans="1:1" x14ac:dyDescent="0.25">
      <c r="A156" s="5"/>
    </row>
    <row r="157" spans="1:1" x14ac:dyDescent="0.25">
      <c r="A157" s="5"/>
    </row>
    <row r="158" spans="1:1" x14ac:dyDescent="0.25">
      <c r="A158" s="5"/>
    </row>
    <row r="159" spans="1:1" x14ac:dyDescent="0.25">
      <c r="A159" s="5"/>
    </row>
    <row r="160" spans="1:1" x14ac:dyDescent="0.25">
      <c r="A160" s="5"/>
    </row>
    <row r="161" spans="1:1" x14ac:dyDescent="0.25">
      <c r="A161" s="5"/>
    </row>
    <row r="162" spans="1:1" x14ac:dyDescent="0.25">
      <c r="A162" s="5"/>
    </row>
    <row r="163" spans="1:1" x14ac:dyDescent="0.25">
      <c r="A163" s="5"/>
    </row>
    <row r="164" spans="1:1" x14ac:dyDescent="0.25">
      <c r="A164" s="5"/>
    </row>
    <row r="165" spans="1:1" x14ac:dyDescent="0.25">
      <c r="A165" s="5"/>
    </row>
    <row r="166" spans="1:1" x14ac:dyDescent="0.25">
      <c r="A166" s="5"/>
    </row>
    <row r="167" spans="1:1" x14ac:dyDescent="0.25">
      <c r="A167" s="5"/>
    </row>
    <row r="168" spans="1:1" x14ac:dyDescent="0.25">
      <c r="A168" s="5"/>
    </row>
    <row r="169" spans="1:1" x14ac:dyDescent="0.25">
      <c r="A169" s="5"/>
    </row>
    <row r="170" spans="1:1" x14ac:dyDescent="0.25">
      <c r="A170" s="5"/>
    </row>
    <row r="171" spans="1:1" x14ac:dyDescent="0.25">
      <c r="A171" s="5"/>
    </row>
    <row r="172" spans="1:1" x14ac:dyDescent="0.25">
      <c r="A172" s="5"/>
    </row>
    <row r="173" spans="1:1" x14ac:dyDescent="0.25">
      <c r="A173" s="5"/>
    </row>
    <row r="174" spans="1:1" x14ac:dyDescent="0.25">
      <c r="A174" s="5"/>
    </row>
    <row r="175" spans="1:1" x14ac:dyDescent="0.25">
      <c r="A175" s="5"/>
    </row>
    <row r="176" spans="1:1" x14ac:dyDescent="0.25">
      <c r="A176" s="5"/>
    </row>
    <row r="177" spans="1:1" x14ac:dyDescent="0.25">
      <c r="A177" s="5"/>
    </row>
    <row r="178" spans="1:1" x14ac:dyDescent="0.25">
      <c r="A178" s="5"/>
    </row>
    <row r="179" spans="1:1" x14ac:dyDescent="0.25">
      <c r="A179" s="10"/>
    </row>
    <row r="180" spans="1:1" x14ac:dyDescent="0.25">
      <c r="A180" s="16"/>
    </row>
    <row r="181" spans="1:1" x14ac:dyDescent="0.25">
      <c r="A181" s="5"/>
    </row>
    <row r="182" spans="1:1" x14ac:dyDescent="0.25">
      <c r="A182" s="5"/>
    </row>
    <row r="183" spans="1:1" x14ac:dyDescent="0.25">
      <c r="A183" s="5"/>
    </row>
    <row r="184" spans="1:1" x14ac:dyDescent="0.25">
      <c r="A184" s="5"/>
    </row>
    <row r="185" spans="1:1" x14ac:dyDescent="0.25">
      <c r="A185" s="16"/>
    </row>
    <row r="186" spans="1:1" x14ac:dyDescent="0.25">
      <c r="A186" s="5"/>
    </row>
    <row r="187" spans="1:1" x14ac:dyDescent="0.25">
      <c r="A187" s="5"/>
    </row>
    <row r="188" spans="1:1" x14ac:dyDescent="0.25">
      <c r="A188" s="5"/>
    </row>
    <row r="189" spans="1:1" x14ac:dyDescent="0.25">
      <c r="A189" s="5"/>
    </row>
    <row r="190" spans="1:1" x14ac:dyDescent="0.25">
      <c r="A190" s="5"/>
    </row>
    <row r="191" spans="1:1" x14ac:dyDescent="0.25">
      <c r="A191" s="5"/>
    </row>
    <row r="192" spans="1:1" x14ac:dyDescent="0.25">
      <c r="A192" s="5"/>
    </row>
    <row r="193" spans="1:1" x14ac:dyDescent="0.25">
      <c r="A193" s="5"/>
    </row>
    <row r="194" spans="1:1" x14ac:dyDescent="0.25">
      <c r="A194" s="5"/>
    </row>
    <row r="195" spans="1:1" x14ac:dyDescent="0.25">
      <c r="A195" s="5"/>
    </row>
    <row r="196" spans="1:1" x14ac:dyDescent="0.25">
      <c r="A196" s="5"/>
    </row>
    <row r="197" spans="1:1" x14ac:dyDescent="0.25">
      <c r="A197" s="5"/>
    </row>
    <row r="198" spans="1:1" x14ac:dyDescent="0.25">
      <c r="A198" s="5"/>
    </row>
    <row r="199" spans="1:1" x14ac:dyDescent="0.25">
      <c r="A199" s="5"/>
    </row>
    <row r="200" spans="1:1" x14ac:dyDescent="0.25">
      <c r="A200" s="5"/>
    </row>
  </sheetData>
  <phoneticPr fontId="16" type="noConversion"/>
  <pageMargins left="0.75" right="0.75" top="1" bottom="1" header="0.5" footer="0.5"/>
  <pageSetup paperSize="9" scale="74" fitToWidth="0" orientation="landscape"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4284662425BB74D9B74AC55D8A84506" ma:contentTypeVersion="11" ma:contentTypeDescription="Create a new document." ma:contentTypeScope="" ma:versionID="3e4a170cad54fa8e8224558877923012">
  <xsd:schema xmlns:xsd="http://www.w3.org/2001/XMLSchema" xmlns:xs="http://www.w3.org/2001/XMLSchema" xmlns:p="http://schemas.microsoft.com/office/2006/metadata/properties" xmlns:ns2="fc793d82-19eb-4d38-9d5b-bc2fe3939cf2" xmlns:ns3="d2389ad0-4628-4ca4-babd-a5e1ca1fc43d" targetNamespace="http://schemas.microsoft.com/office/2006/metadata/properties" ma:root="true" ma:fieldsID="b212d17ac051dc9cc1051dc94c7bf72a" ns2:_="" ns3:_="">
    <xsd:import namespace="fc793d82-19eb-4d38-9d5b-bc2fe3939cf2"/>
    <xsd:import namespace="d2389ad0-4628-4ca4-babd-a5e1ca1fc43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c793d82-19eb-4d38-9d5b-bc2fe3939cf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MediaServiceAuto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d2389ad0-4628-4ca4-babd-a5e1ca1fc43d"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d2389ad0-4628-4ca4-babd-a5e1ca1fc43d">
      <UserInfo>
        <DisplayName>Clare Edwards</DisplayName>
        <AccountId>973</AccountId>
        <AccountType/>
      </UserInfo>
      <UserInfo>
        <DisplayName>Warren Luyt</DisplayName>
        <AccountId>13976</AccountId>
        <AccountType/>
      </UserInfo>
    </SharedWithUsers>
  </documentManagement>
</p:properties>
</file>

<file path=customXml/itemProps1.xml><?xml version="1.0" encoding="utf-8"?>
<ds:datastoreItem xmlns:ds="http://schemas.openxmlformats.org/officeDocument/2006/customXml" ds:itemID="{D937E66E-D3CA-4FC5-926F-B4A5E3979B7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c793d82-19eb-4d38-9d5b-bc2fe3939cf2"/>
    <ds:schemaRef ds:uri="d2389ad0-4628-4ca4-babd-a5e1ca1fc43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C3809F8-895E-4604-8706-5B4062847395}">
  <ds:schemaRefs>
    <ds:schemaRef ds:uri="http://schemas.microsoft.com/sharepoint/v3/contenttype/forms"/>
  </ds:schemaRefs>
</ds:datastoreItem>
</file>

<file path=customXml/itemProps3.xml><?xml version="1.0" encoding="utf-8"?>
<ds:datastoreItem xmlns:ds="http://schemas.openxmlformats.org/officeDocument/2006/customXml" ds:itemID="{5C094817-7212-4ED2-85FD-567959AA72F8}">
  <ds:schemaRefs>
    <ds:schemaRef ds:uri="http://purl.org/dc/terms/"/>
    <ds:schemaRef ds:uri="http://schemas.microsoft.com/office/2006/documentManagement/types"/>
    <ds:schemaRef ds:uri="http://purl.org/dc/dcmitype/"/>
    <ds:schemaRef ds:uri="http://schemas.microsoft.com/office/infopath/2007/PartnerControls"/>
    <ds:schemaRef ds:uri="http://purl.org/dc/elements/1.1/"/>
    <ds:schemaRef ds:uri="http://schemas.microsoft.com/office/2006/metadata/properties"/>
    <ds:schemaRef ds:uri="fc793d82-19eb-4d38-9d5b-bc2fe3939cf2"/>
    <ds:schemaRef ds:uri="d2389ad0-4628-4ca4-babd-a5e1ca1fc43d"/>
    <ds:schemaRef ds:uri="http://schemas.openxmlformats.org/package/2006/metadata/core-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26</vt:i4>
      </vt:variant>
    </vt:vector>
  </HeadingPairs>
  <TitlesOfParts>
    <vt:vector size="30" baseType="lpstr">
      <vt:lpstr>Statistical return</vt:lpstr>
      <vt:lpstr>Guidance</vt:lpstr>
      <vt:lpstr>LOV</vt:lpstr>
      <vt:lpstr>lookup</vt:lpstr>
      <vt:lpstr>East_Midlands</vt:lpstr>
      <vt:lpstr>East_of_England</vt:lpstr>
      <vt:lpstr>FormReport</vt:lpstr>
      <vt:lpstr>Indent</vt:lpstr>
      <vt:lpstr>Kent__Surrey_and_Sussex</vt:lpstr>
      <vt:lpstr>LineBreak</vt:lpstr>
      <vt:lpstr>London</vt:lpstr>
      <vt:lpstr>LstCompletion</vt:lpstr>
      <vt:lpstr>LstHeadCountEntries</vt:lpstr>
      <vt:lpstr>LstHeadcountVacancies</vt:lpstr>
      <vt:lpstr>LstOthers</vt:lpstr>
      <vt:lpstr>North_East</vt:lpstr>
      <vt:lpstr>North_West</vt:lpstr>
      <vt:lpstr>Guidance!Print_Area</vt:lpstr>
      <vt:lpstr>lookup!Print_Area</vt:lpstr>
      <vt:lpstr>'Statistical return'!Print_Area</vt:lpstr>
      <vt:lpstr>ReportText</vt:lpstr>
      <vt:lpstr>SECTOR</vt:lpstr>
      <vt:lpstr>SHA</vt:lpstr>
      <vt:lpstr>South_West</vt:lpstr>
      <vt:lpstr>TblStaffBands</vt:lpstr>
      <vt:lpstr>Thames_Valley</vt:lpstr>
      <vt:lpstr>TYPE</vt:lpstr>
      <vt:lpstr>Wessex</vt:lpstr>
      <vt:lpstr>West_Midlands</vt:lpstr>
      <vt:lpstr>Yorks._and_the_Humber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Annual NHS Library Services Return 2020-21  pt 1 staffing</dc:title>
  <dc:subject/>
  <dc:creator>Linda Ferguson;Claire Nevill;David Newman</dc:creator>
  <cp:keywords/>
  <dc:description/>
  <cp:lastModifiedBy>Catherine Mclaren</cp:lastModifiedBy>
  <cp:revision/>
  <dcterms:created xsi:type="dcterms:W3CDTF">2008-01-04T17:04:56Z</dcterms:created>
  <dcterms:modified xsi:type="dcterms:W3CDTF">2021-03-26T14:23:33Z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0x01010004284662425BB74D9B74AC55D8A84506</vt:lpwstr>
  </property>
  <property fmtid="{D5CDD505-2E9C-101B-9397-08002B2CF9AE}" pid="3" name="AuthorIds_UIVersion_1024">
    <vt:lpwstr>3089</vt:lpwstr>
  </property>
</Properties>
</file>